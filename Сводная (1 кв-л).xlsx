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ЭНЕРГОСТАНДАРТ\Бирюкова В.А\Примснаб\2026\1 кв-л\"/>
    </mc:Choice>
  </mc:AlternateContent>
  <bookViews>
    <workbookView xWindow="480" yWindow="30" windowWidth="24240" windowHeight="12345" activeTab="7"/>
  </bookViews>
  <sheets>
    <sheet name="грязная" sheetId="1" r:id="rId1"/>
    <sheet name="чистая" sheetId="2" r:id="rId2"/>
    <sheet name="Сводка" sheetId="6" r:id="rId3"/>
    <sheet name="01.26 (изм)" sheetId="10" r:id="rId4"/>
    <sheet name="01.26" sheetId="3" r:id="rId5"/>
    <sheet name="02.26 (изм)" sheetId="9" r:id="rId6"/>
    <sheet name="02.26" sheetId="4" r:id="rId7"/>
    <sheet name="03.26 (изм)" sheetId="5" r:id="rId8"/>
    <sheet name="03.26" sheetId="8" r:id="rId9"/>
  </sheets>
  <calcPr calcId="162913"/>
</workbook>
</file>

<file path=xl/calcChain.xml><?xml version="1.0" encoding="utf-8"?>
<calcChain xmlns="http://schemas.openxmlformats.org/spreadsheetml/2006/main">
  <c r="R35" i="5" l="1"/>
  <c r="O35" i="5"/>
  <c r="Q5" i="6"/>
  <c r="Q4" i="6"/>
  <c r="E4" i="6"/>
  <c r="E6" i="6"/>
  <c r="Q17" i="6"/>
  <c r="K17" i="6"/>
  <c r="C21" i="6"/>
  <c r="L8" i="10"/>
  <c r="L20" i="10"/>
  <c r="K20" i="9"/>
  <c r="K8" i="9"/>
  <c r="M20" i="5"/>
  <c r="M8" i="5"/>
  <c r="L28" i="10"/>
  <c r="L30" i="10" s="1"/>
  <c r="P28" i="5"/>
  <c r="P5" i="9"/>
  <c r="K28" i="9"/>
  <c r="E5" i="5"/>
  <c r="Q28" i="10"/>
  <c r="Q29" i="10"/>
  <c r="O28" i="10"/>
  <c r="N29" i="10"/>
  <c r="L29" i="10"/>
  <c r="P29" i="9"/>
  <c r="N29" i="9"/>
  <c r="M29" i="9"/>
  <c r="K29" i="9"/>
  <c r="Q28" i="9"/>
  <c r="P29" i="5"/>
  <c r="R29" i="5"/>
  <c r="O29" i="5"/>
  <c r="M29" i="5"/>
  <c r="Q24" i="9"/>
  <c r="G28" i="10"/>
  <c r="S24" i="10"/>
  <c r="S23" i="10"/>
  <c r="S22" i="10"/>
  <c r="S21" i="10"/>
  <c r="S20" i="10"/>
  <c r="S19" i="10"/>
  <c r="S18" i="10"/>
  <c r="S17" i="10"/>
  <c r="S16" i="10"/>
  <c r="S15" i="10"/>
  <c r="S14" i="10"/>
  <c r="S13" i="10"/>
  <c r="S12" i="10"/>
  <c r="S11" i="10"/>
  <c r="S10" i="10"/>
  <c r="T10" i="10" s="1"/>
  <c r="S9" i="10"/>
  <c r="S8" i="10"/>
  <c r="S7" i="10"/>
  <c r="T7" i="10" s="1"/>
  <c r="S6" i="10"/>
  <c r="S5" i="10"/>
  <c r="P24" i="10"/>
  <c r="P23" i="10"/>
  <c r="Q23" i="10" s="1"/>
  <c r="P22" i="10"/>
  <c r="Q22" i="10" s="1"/>
  <c r="P21" i="10"/>
  <c r="Q21" i="10" s="1"/>
  <c r="P20" i="10"/>
  <c r="P19" i="10"/>
  <c r="P18" i="10"/>
  <c r="P17" i="10"/>
  <c r="P16" i="10"/>
  <c r="Q16" i="10" s="1"/>
  <c r="P15" i="10"/>
  <c r="P14" i="10"/>
  <c r="Q14" i="10" s="1"/>
  <c r="P13" i="10"/>
  <c r="P12" i="10"/>
  <c r="P11" i="10"/>
  <c r="P10" i="10"/>
  <c r="P9" i="10"/>
  <c r="P8" i="10"/>
  <c r="Q8" i="10" s="1"/>
  <c r="P7" i="10"/>
  <c r="P6" i="10"/>
  <c r="P5" i="10"/>
  <c r="Q5" i="10" s="1"/>
  <c r="F24" i="10"/>
  <c r="F23" i="10"/>
  <c r="G23" i="10" s="1"/>
  <c r="F22" i="10"/>
  <c r="G22" i="10" s="1"/>
  <c r="F21" i="10"/>
  <c r="F20" i="10"/>
  <c r="F19" i="10"/>
  <c r="F18" i="10"/>
  <c r="G18" i="10" s="1"/>
  <c r="F17" i="10"/>
  <c r="G17" i="10" s="1"/>
  <c r="F16" i="10"/>
  <c r="G16" i="10" s="1"/>
  <c r="F15" i="10"/>
  <c r="F14" i="10"/>
  <c r="F13" i="10"/>
  <c r="F12" i="10"/>
  <c r="G12" i="10" s="1"/>
  <c r="F11" i="10"/>
  <c r="G11" i="10" s="1"/>
  <c r="F10" i="10"/>
  <c r="G10" i="10" s="1"/>
  <c r="F9" i="10"/>
  <c r="F8" i="10"/>
  <c r="F7" i="10"/>
  <c r="G7" i="10" s="1"/>
  <c r="F6" i="10"/>
  <c r="F5" i="10"/>
  <c r="M24" i="10"/>
  <c r="M23" i="10"/>
  <c r="N23" i="10" s="1"/>
  <c r="M22" i="10"/>
  <c r="M21" i="10"/>
  <c r="N21" i="10" s="1"/>
  <c r="M20" i="10"/>
  <c r="N20" i="10" s="1"/>
  <c r="M19" i="10"/>
  <c r="M18" i="10"/>
  <c r="N18" i="10" s="1"/>
  <c r="M17" i="10"/>
  <c r="N17" i="10" s="1"/>
  <c r="M16" i="10"/>
  <c r="M15" i="10"/>
  <c r="M14" i="10"/>
  <c r="N14" i="10" s="1"/>
  <c r="M13" i="10"/>
  <c r="M12" i="10"/>
  <c r="N12" i="10" s="1"/>
  <c r="M11" i="10"/>
  <c r="N11" i="10" s="1"/>
  <c r="M10" i="10"/>
  <c r="M9" i="10"/>
  <c r="N9" i="10" s="1"/>
  <c r="M8" i="10"/>
  <c r="M7" i="10"/>
  <c r="M6" i="10"/>
  <c r="N6" i="10" s="1"/>
  <c r="M5" i="10"/>
  <c r="N5" i="10" s="1"/>
  <c r="X24" i="10"/>
  <c r="W24" i="10"/>
  <c r="C24" i="10" s="1"/>
  <c r="D24" i="10" s="1"/>
  <c r="X23" i="10"/>
  <c r="W23" i="10" s="1"/>
  <c r="X22" i="10"/>
  <c r="W22" i="10" s="1"/>
  <c r="X21" i="10"/>
  <c r="W21" i="10"/>
  <c r="X20" i="10"/>
  <c r="W20" i="10" s="1"/>
  <c r="X19" i="10"/>
  <c r="W19" i="10"/>
  <c r="C19" i="10" s="1"/>
  <c r="D19" i="10" s="1"/>
  <c r="X18" i="10"/>
  <c r="W18" i="10"/>
  <c r="C18" i="10" s="1"/>
  <c r="D18" i="10" s="1"/>
  <c r="X17" i="10"/>
  <c r="W17" i="10" s="1"/>
  <c r="X16" i="10"/>
  <c r="W16" i="10"/>
  <c r="T16" i="10" s="1"/>
  <c r="X15" i="10"/>
  <c r="W15" i="10" s="1"/>
  <c r="X14" i="10"/>
  <c r="W14" i="10" s="1"/>
  <c r="X13" i="10"/>
  <c r="W13" i="10"/>
  <c r="C13" i="10" s="1"/>
  <c r="D13" i="10" s="1"/>
  <c r="X12" i="10"/>
  <c r="W12" i="10"/>
  <c r="X11" i="10"/>
  <c r="W11" i="10" s="1"/>
  <c r="X10" i="10"/>
  <c r="W10" i="10"/>
  <c r="X9" i="10"/>
  <c r="W9" i="10"/>
  <c r="X8" i="10"/>
  <c r="W8" i="10" s="1"/>
  <c r="X7" i="10"/>
  <c r="W7" i="10"/>
  <c r="C7" i="10" s="1"/>
  <c r="D7" i="10" s="1"/>
  <c r="X6" i="10"/>
  <c r="W6" i="10"/>
  <c r="C6" i="10" s="1"/>
  <c r="D6" i="10" s="1"/>
  <c r="X5" i="10"/>
  <c r="W5" i="10" s="1"/>
  <c r="C21" i="10"/>
  <c r="D21" i="10" s="1"/>
  <c r="C10" i="10"/>
  <c r="D10" i="10" s="1"/>
  <c r="R24" i="9"/>
  <c r="R23" i="9"/>
  <c r="S23" i="9" s="1"/>
  <c r="R22" i="9"/>
  <c r="S22" i="9" s="1"/>
  <c r="R21" i="9"/>
  <c r="S21" i="9" s="1"/>
  <c r="R20" i="9"/>
  <c r="R19" i="9"/>
  <c r="R18" i="9"/>
  <c r="R17" i="9"/>
  <c r="R16" i="9"/>
  <c r="R15" i="9"/>
  <c r="S15" i="9" s="1"/>
  <c r="R14" i="9"/>
  <c r="R13" i="9"/>
  <c r="R12" i="9"/>
  <c r="R11" i="9"/>
  <c r="R10" i="9"/>
  <c r="R9" i="9"/>
  <c r="R8" i="9"/>
  <c r="R7" i="9"/>
  <c r="R6" i="9"/>
  <c r="R5" i="9"/>
  <c r="O24" i="9"/>
  <c r="O23" i="9"/>
  <c r="O22" i="9"/>
  <c r="P22" i="9" s="1"/>
  <c r="O21" i="9"/>
  <c r="P21" i="9" s="1"/>
  <c r="O20" i="9"/>
  <c r="P20" i="9" s="1"/>
  <c r="O19" i="9"/>
  <c r="O18" i="9"/>
  <c r="O17" i="9"/>
  <c r="O16" i="9"/>
  <c r="P16" i="9" s="1"/>
  <c r="O15" i="9"/>
  <c r="O14" i="9"/>
  <c r="P14" i="9" s="1"/>
  <c r="O13" i="9"/>
  <c r="O12" i="9"/>
  <c r="O11" i="9"/>
  <c r="O10" i="9"/>
  <c r="P10" i="9" s="1"/>
  <c r="O9" i="9"/>
  <c r="P9" i="9" s="1"/>
  <c r="O8" i="9"/>
  <c r="P8" i="9" s="1"/>
  <c r="O7" i="9"/>
  <c r="O6" i="9"/>
  <c r="O5" i="9"/>
  <c r="L24" i="9"/>
  <c r="L23" i="9"/>
  <c r="L22" i="9"/>
  <c r="M22" i="9" s="1"/>
  <c r="L21" i="9"/>
  <c r="M21" i="9" s="1"/>
  <c r="L20" i="9"/>
  <c r="M20" i="9" s="1"/>
  <c r="L19" i="9"/>
  <c r="L18" i="9"/>
  <c r="L17" i="9"/>
  <c r="L16" i="9"/>
  <c r="L15" i="9"/>
  <c r="M15" i="9" s="1"/>
  <c r="L14" i="9"/>
  <c r="M14" i="9" s="1"/>
  <c r="L13" i="9"/>
  <c r="L12" i="9"/>
  <c r="M12" i="9" s="1"/>
  <c r="L11" i="9"/>
  <c r="L10" i="9"/>
  <c r="L9" i="9"/>
  <c r="M9" i="9" s="1"/>
  <c r="L8" i="9"/>
  <c r="L7" i="9"/>
  <c r="L6" i="9"/>
  <c r="L5" i="9"/>
  <c r="M5" i="9" s="1"/>
  <c r="G24" i="9"/>
  <c r="G23" i="9"/>
  <c r="G22" i="9"/>
  <c r="H22" i="9" s="1"/>
  <c r="G21" i="9"/>
  <c r="G20" i="9"/>
  <c r="H20" i="9" s="1"/>
  <c r="G19" i="9"/>
  <c r="G18" i="9"/>
  <c r="G17" i="9"/>
  <c r="G16" i="9"/>
  <c r="H16" i="9" s="1"/>
  <c r="G15" i="9"/>
  <c r="H15" i="9" s="1"/>
  <c r="G14" i="9"/>
  <c r="H14" i="9" s="1"/>
  <c r="G13" i="9"/>
  <c r="G12" i="9"/>
  <c r="G11" i="9"/>
  <c r="H11" i="9" s="1"/>
  <c r="G10" i="9"/>
  <c r="G9" i="9"/>
  <c r="H9" i="9" s="1"/>
  <c r="G8" i="9"/>
  <c r="H8" i="9" s="1"/>
  <c r="G7" i="9"/>
  <c r="G6" i="9"/>
  <c r="G5" i="9"/>
  <c r="H5" i="9" s="1"/>
  <c r="R28" i="10"/>
  <c r="R30" i="10" s="1"/>
  <c r="T27" i="10"/>
  <c r="T26" i="10"/>
  <c r="T25" i="10"/>
  <c r="T24" i="10"/>
  <c r="V6" i="9"/>
  <c r="V7" i="9"/>
  <c r="D7" i="9" s="1"/>
  <c r="E7" i="9" s="1"/>
  <c r="V8" i="9"/>
  <c r="V9" i="9"/>
  <c r="V10" i="9"/>
  <c r="V11" i="9"/>
  <c r="V12" i="9"/>
  <c r="V13" i="9"/>
  <c r="D13" i="9" s="1"/>
  <c r="E13" i="9" s="1"/>
  <c r="V14" i="9"/>
  <c r="V15" i="9"/>
  <c r="V16" i="9"/>
  <c r="V17" i="9"/>
  <c r="V18" i="9"/>
  <c r="V19" i="9"/>
  <c r="D19" i="9" s="1"/>
  <c r="E19" i="9" s="1"/>
  <c r="V20" i="9"/>
  <c r="V21" i="9"/>
  <c r="V22" i="9"/>
  <c r="V23" i="9"/>
  <c r="V24" i="9"/>
  <c r="H24" i="9" s="1"/>
  <c r="V5" i="9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5" i="9"/>
  <c r="D24" i="9"/>
  <c r="E24" i="9" s="1"/>
  <c r="D23" i="9"/>
  <c r="E23" i="9" s="1"/>
  <c r="D22" i="9"/>
  <c r="E22" i="9" s="1"/>
  <c r="D21" i="9"/>
  <c r="E21" i="9" s="1"/>
  <c r="D20" i="9"/>
  <c r="E20" i="9" s="1"/>
  <c r="D18" i="9"/>
  <c r="E18" i="9" s="1"/>
  <c r="D17" i="9"/>
  <c r="E17" i="9" s="1"/>
  <c r="D16" i="9"/>
  <c r="E16" i="9" s="1"/>
  <c r="D15" i="9"/>
  <c r="E15" i="9" s="1"/>
  <c r="D14" i="9"/>
  <c r="E14" i="9" s="1"/>
  <c r="D12" i="9"/>
  <c r="E12" i="9" s="1"/>
  <c r="D11" i="9"/>
  <c r="E11" i="9" s="1"/>
  <c r="D10" i="9"/>
  <c r="E10" i="9" s="1"/>
  <c r="D9" i="9"/>
  <c r="E9" i="9" s="1"/>
  <c r="D8" i="9"/>
  <c r="E8" i="9" s="1"/>
  <c r="D6" i="9"/>
  <c r="E6" i="9" s="1"/>
  <c r="P24" i="9"/>
  <c r="M24" i="9"/>
  <c r="S27" i="9"/>
  <c r="S26" i="9"/>
  <c r="S25" i="9"/>
  <c r="S18" i="9"/>
  <c r="S17" i="9"/>
  <c r="S16" i="9"/>
  <c r="S12" i="9"/>
  <c r="S11" i="9"/>
  <c r="S10" i="9"/>
  <c r="S9" i="9"/>
  <c r="S6" i="9"/>
  <c r="P15" i="9"/>
  <c r="Y6" i="5"/>
  <c r="Y7" i="5"/>
  <c r="Y8" i="5"/>
  <c r="Y9" i="5"/>
  <c r="X9" i="5" s="1"/>
  <c r="Y10" i="5"/>
  <c r="X10" i="5" s="1"/>
  <c r="Y11" i="5"/>
  <c r="Y12" i="5"/>
  <c r="Y13" i="5"/>
  <c r="Y14" i="5"/>
  <c r="Y15" i="5"/>
  <c r="X15" i="5" s="1"/>
  <c r="Y16" i="5"/>
  <c r="X16" i="5" s="1"/>
  <c r="Y17" i="5"/>
  <c r="Y18" i="5"/>
  <c r="Y19" i="5"/>
  <c r="Y20" i="5"/>
  <c r="Y21" i="5"/>
  <c r="X21" i="5" s="1"/>
  <c r="Y22" i="5"/>
  <c r="X22" i="5" s="1"/>
  <c r="Y23" i="5"/>
  <c r="Y24" i="5"/>
  <c r="Y5" i="5"/>
  <c r="X6" i="5"/>
  <c r="X7" i="5"/>
  <c r="Q7" i="5" s="1"/>
  <c r="X8" i="5"/>
  <c r="N8" i="5" s="1"/>
  <c r="X11" i="5"/>
  <c r="Q11" i="5" s="1"/>
  <c r="X12" i="5"/>
  <c r="X13" i="5"/>
  <c r="Q13" i="5" s="1"/>
  <c r="X14" i="5"/>
  <c r="N14" i="5" s="1"/>
  <c r="X17" i="5"/>
  <c r="G17" i="5" s="1"/>
  <c r="X18" i="5"/>
  <c r="X19" i="5"/>
  <c r="Q19" i="5" s="1"/>
  <c r="X20" i="5"/>
  <c r="N20" i="5" s="1"/>
  <c r="X23" i="5"/>
  <c r="N23" i="5" s="1"/>
  <c r="X24" i="5"/>
  <c r="X5" i="5"/>
  <c r="Q5" i="5" s="1"/>
  <c r="T24" i="5"/>
  <c r="T18" i="5"/>
  <c r="U18" i="5" s="1"/>
  <c r="T17" i="5"/>
  <c r="U17" i="5" s="1"/>
  <c r="T12" i="5"/>
  <c r="U12" i="5" s="1"/>
  <c r="T6" i="5"/>
  <c r="U6" i="5" s="1"/>
  <c r="Q24" i="5"/>
  <c r="R24" i="5" s="1"/>
  <c r="Q18" i="5"/>
  <c r="Q17" i="5"/>
  <c r="Q14" i="5"/>
  <c r="Q12" i="5"/>
  <c r="Q6" i="5"/>
  <c r="N24" i="5"/>
  <c r="N18" i="5"/>
  <c r="N17" i="5"/>
  <c r="N12" i="5"/>
  <c r="N6" i="5"/>
  <c r="G24" i="5"/>
  <c r="H24" i="5" s="1"/>
  <c r="G23" i="5"/>
  <c r="G19" i="5"/>
  <c r="G18" i="5"/>
  <c r="G13" i="5"/>
  <c r="G12" i="5"/>
  <c r="G6" i="5"/>
  <c r="D24" i="5"/>
  <c r="E24" i="5" s="1"/>
  <c r="D18" i="5"/>
  <c r="D17" i="5"/>
  <c r="D12" i="5"/>
  <c r="D11" i="5"/>
  <c r="D6" i="5"/>
  <c r="S28" i="5"/>
  <c r="S30" i="5" s="1"/>
  <c r="U27" i="5"/>
  <c r="U26" i="5"/>
  <c r="U25" i="5"/>
  <c r="E58" i="10"/>
  <c r="B58" i="10"/>
  <c r="G57" i="10"/>
  <c r="G56" i="10"/>
  <c r="G55" i="10"/>
  <c r="G54" i="10"/>
  <c r="D54" i="10"/>
  <c r="G53" i="10"/>
  <c r="D53" i="10"/>
  <c r="G52" i="10"/>
  <c r="D52" i="10"/>
  <c r="G51" i="10"/>
  <c r="D51" i="10"/>
  <c r="G50" i="10"/>
  <c r="D50" i="10"/>
  <c r="G49" i="10"/>
  <c r="D49" i="10"/>
  <c r="G48" i="10"/>
  <c r="D48" i="10"/>
  <c r="G47" i="10"/>
  <c r="D47" i="10"/>
  <c r="G46" i="10"/>
  <c r="D46" i="10"/>
  <c r="G45" i="10"/>
  <c r="D45" i="10"/>
  <c r="G44" i="10"/>
  <c r="D44" i="10"/>
  <c r="G43" i="10"/>
  <c r="D43" i="10"/>
  <c r="G42" i="10"/>
  <c r="D42" i="10"/>
  <c r="G41" i="10"/>
  <c r="D41" i="10"/>
  <c r="G40" i="10"/>
  <c r="D40" i="10"/>
  <c r="G39" i="10"/>
  <c r="D39" i="10"/>
  <c r="D58" i="10" s="1"/>
  <c r="G38" i="10"/>
  <c r="D38" i="10"/>
  <c r="G37" i="10"/>
  <c r="D37" i="10"/>
  <c r="E28" i="10"/>
  <c r="O29" i="10" s="1"/>
  <c r="O30" i="10" s="1"/>
  <c r="B28" i="10"/>
  <c r="Q27" i="10"/>
  <c r="G27" i="10"/>
  <c r="Q26" i="10"/>
  <c r="G26" i="10"/>
  <c r="Q25" i="10"/>
  <c r="G25" i="10"/>
  <c r="N22" i="10"/>
  <c r="G21" i="10"/>
  <c r="Q20" i="10"/>
  <c r="G20" i="10"/>
  <c r="Q19" i="10"/>
  <c r="N19" i="10"/>
  <c r="G19" i="10"/>
  <c r="Q18" i="10"/>
  <c r="Q17" i="10"/>
  <c r="N16" i="10"/>
  <c r="G14" i="10"/>
  <c r="Q13" i="10"/>
  <c r="N13" i="10"/>
  <c r="G13" i="10"/>
  <c r="Q12" i="10"/>
  <c r="Q11" i="10"/>
  <c r="Q10" i="10"/>
  <c r="N10" i="10"/>
  <c r="Q9" i="10"/>
  <c r="G9" i="10"/>
  <c r="G8" i="10"/>
  <c r="Q7" i="10"/>
  <c r="N7" i="10"/>
  <c r="Q6" i="10"/>
  <c r="G6" i="10"/>
  <c r="G5" i="10"/>
  <c r="F56" i="9"/>
  <c r="H55" i="9"/>
  <c r="E55" i="9"/>
  <c r="H54" i="9"/>
  <c r="C54" i="9"/>
  <c r="E54" i="9" s="1"/>
  <c r="H53" i="9"/>
  <c r="C53" i="9"/>
  <c r="E53" i="9" s="1"/>
  <c r="H52" i="9"/>
  <c r="C52" i="9"/>
  <c r="E52" i="9" s="1"/>
  <c r="H51" i="9"/>
  <c r="C51" i="9"/>
  <c r="E51" i="9" s="1"/>
  <c r="H50" i="9"/>
  <c r="C50" i="9"/>
  <c r="E50" i="9" s="1"/>
  <c r="H49" i="9"/>
  <c r="C49" i="9"/>
  <c r="E49" i="9" s="1"/>
  <c r="H48" i="9"/>
  <c r="C48" i="9"/>
  <c r="E48" i="9" s="1"/>
  <c r="H47" i="9"/>
  <c r="C47" i="9"/>
  <c r="E47" i="9" s="1"/>
  <c r="H46" i="9"/>
  <c r="C46" i="9"/>
  <c r="E46" i="9" s="1"/>
  <c r="H45" i="9"/>
  <c r="C45" i="9"/>
  <c r="E45" i="9" s="1"/>
  <c r="H44" i="9"/>
  <c r="C44" i="9"/>
  <c r="E44" i="9" s="1"/>
  <c r="H43" i="9"/>
  <c r="C43" i="9"/>
  <c r="E43" i="9" s="1"/>
  <c r="H42" i="9"/>
  <c r="C42" i="9"/>
  <c r="E42" i="9" s="1"/>
  <c r="H41" i="9"/>
  <c r="C41" i="9"/>
  <c r="E41" i="9" s="1"/>
  <c r="H40" i="9"/>
  <c r="C40" i="9"/>
  <c r="E40" i="9" s="1"/>
  <c r="H39" i="9"/>
  <c r="C39" i="9"/>
  <c r="E39" i="9" s="1"/>
  <c r="H38" i="9"/>
  <c r="C38" i="9"/>
  <c r="E38" i="9" s="1"/>
  <c r="H37" i="9"/>
  <c r="C37" i="9"/>
  <c r="E37" i="9" s="1"/>
  <c r="H36" i="9"/>
  <c r="C36" i="9"/>
  <c r="E36" i="9" s="1"/>
  <c r="H35" i="9"/>
  <c r="F28" i="9"/>
  <c r="C28" i="9"/>
  <c r="P27" i="9"/>
  <c r="M27" i="9"/>
  <c r="H27" i="9"/>
  <c r="E27" i="9"/>
  <c r="P26" i="9"/>
  <c r="M26" i="9"/>
  <c r="H26" i="9"/>
  <c r="E26" i="9"/>
  <c r="P25" i="9"/>
  <c r="M25" i="9"/>
  <c r="H25" i="9"/>
  <c r="E25" i="9"/>
  <c r="P23" i="9"/>
  <c r="M23" i="9"/>
  <c r="H23" i="9"/>
  <c r="H21" i="9"/>
  <c r="P19" i="9"/>
  <c r="M19" i="9"/>
  <c r="H19" i="9"/>
  <c r="P18" i="9"/>
  <c r="M18" i="9"/>
  <c r="H18" i="9"/>
  <c r="P17" i="9"/>
  <c r="M17" i="9"/>
  <c r="H17" i="9"/>
  <c r="M16" i="9"/>
  <c r="P13" i="9"/>
  <c r="M13" i="9"/>
  <c r="H13" i="9"/>
  <c r="P12" i="9"/>
  <c r="H12" i="9"/>
  <c r="P11" i="9"/>
  <c r="M11" i="9"/>
  <c r="M10" i="9"/>
  <c r="H10" i="9"/>
  <c r="P7" i="9"/>
  <c r="M7" i="9"/>
  <c r="H7" i="9"/>
  <c r="P6" i="9"/>
  <c r="M6" i="9"/>
  <c r="H6" i="9"/>
  <c r="O24" i="5"/>
  <c r="F58" i="8"/>
  <c r="E58" i="8"/>
  <c r="C58" i="8"/>
  <c r="H57" i="8"/>
  <c r="E57" i="8"/>
  <c r="H56" i="8"/>
  <c r="E56" i="8"/>
  <c r="H55" i="8"/>
  <c r="E55" i="8"/>
  <c r="H54" i="8"/>
  <c r="E54" i="8"/>
  <c r="H53" i="8"/>
  <c r="E53" i="8"/>
  <c r="H52" i="8"/>
  <c r="E52" i="8"/>
  <c r="H51" i="8"/>
  <c r="E51" i="8"/>
  <c r="H50" i="8"/>
  <c r="E50" i="8"/>
  <c r="H49" i="8"/>
  <c r="E49" i="8"/>
  <c r="H48" i="8"/>
  <c r="E48" i="8"/>
  <c r="H47" i="8"/>
  <c r="E47" i="8"/>
  <c r="H46" i="8"/>
  <c r="E46" i="8"/>
  <c r="H45" i="8"/>
  <c r="E45" i="8"/>
  <c r="H44" i="8"/>
  <c r="E44" i="8"/>
  <c r="H43" i="8"/>
  <c r="E43" i="8"/>
  <c r="H42" i="8"/>
  <c r="E42" i="8"/>
  <c r="H41" i="8"/>
  <c r="E41" i="8"/>
  <c r="H40" i="8"/>
  <c r="E40" i="8"/>
  <c r="H39" i="8"/>
  <c r="E39" i="8"/>
  <c r="H38" i="8"/>
  <c r="E38" i="8"/>
  <c r="H37" i="8"/>
  <c r="H58" i="8" s="1"/>
  <c r="E37" i="8"/>
  <c r="H36" i="8"/>
  <c r="E36" i="8"/>
  <c r="P29" i="8"/>
  <c r="P27" i="8"/>
  <c r="M27" i="8"/>
  <c r="M29" i="8" s="1"/>
  <c r="F27" i="8"/>
  <c r="C27" i="8"/>
  <c r="R26" i="8"/>
  <c r="O26" i="8"/>
  <c r="H26" i="8"/>
  <c r="E26" i="8"/>
  <c r="R25" i="8"/>
  <c r="O25" i="8"/>
  <c r="H25" i="8"/>
  <c r="E25" i="8"/>
  <c r="R24" i="8"/>
  <c r="O24" i="8"/>
  <c r="H24" i="8"/>
  <c r="E24" i="8"/>
  <c r="R23" i="8"/>
  <c r="O23" i="8"/>
  <c r="H23" i="8"/>
  <c r="E23" i="8"/>
  <c r="R22" i="8"/>
  <c r="O22" i="8"/>
  <c r="H22" i="8"/>
  <c r="E22" i="8"/>
  <c r="R21" i="8"/>
  <c r="O21" i="8"/>
  <c r="H21" i="8"/>
  <c r="E21" i="8"/>
  <c r="R20" i="8"/>
  <c r="O20" i="8"/>
  <c r="H20" i="8"/>
  <c r="E20" i="8"/>
  <c r="R19" i="8"/>
  <c r="O19" i="8"/>
  <c r="H19" i="8"/>
  <c r="E19" i="8"/>
  <c r="R18" i="8"/>
  <c r="O18" i="8"/>
  <c r="H18" i="8"/>
  <c r="E18" i="8"/>
  <c r="R17" i="8"/>
  <c r="O17" i="8"/>
  <c r="H17" i="8"/>
  <c r="E17" i="8"/>
  <c r="R16" i="8"/>
  <c r="O16" i="8"/>
  <c r="H16" i="8"/>
  <c r="E16" i="8"/>
  <c r="R15" i="8"/>
  <c r="O15" i="8"/>
  <c r="H15" i="8"/>
  <c r="E15" i="8"/>
  <c r="R14" i="8"/>
  <c r="O14" i="8"/>
  <c r="H14" i="8"/>
  <c r="E14" i="8"/>
  <c r="R13" i="8"/>
  <c r="O13" i="8"/>
  <c r="H13" i="8"/>
  <c r="E13" i="8"/>
  <c r="R12" i="8"/>
  <c r="O12" i="8"/>
  <c r="H12" i="8"/>
  <c r="E12" i="8"/>
  <c r="R11" i="8"/>
  <c r="O11" i="8"/>
  <c r="H11" i="8"/>
  <c r="E11" i="8"/>
  <c r="R10" i="8"/>
  <c r="O10" i="8"/>
  <c r="H10" i="8"/>
  <c r="E10" i="8"/>
  <c r="R9" i="8"/>
  <c r="O9" i="8"/>
  <c r="H9" i="8"/>
  <c r="E9" i="8"/>
  <c r="R8" i="8"/>
  <c r="O8" i="8"/>
  <c r="H8" i="8"/>
  <c r="E8" i="8"/>
  <c r="R7" i="8"/>
  <c r="O7" i="8"/>
  <c r="H7" i="8"/>
  <c r="E7" i="8"/>
  <c r="R6" i="8"/>
  <c r="O6" i="8"/>
  <c r="H6" i="8"/>
  <c r="E6" i="8"/>
  <c r="R5" i="8"/>
  <c r="R27" i="8" s="1"/>
  <c r="R29" i="8" s="1"/>
  <c r="O5" i="8"/>
  <c r="O27" i="8" s="1"/>
  <c r="O29" i="8" s="1"/>
  <c r="H5" i="8"/>
  <c r="H27" i="8" s="1"/>
  <c r="E5" i="8"/>
  <c r="E27" i="8" s="1"/>
  <c r="N28" i="9" l="1"/>
  <c r="N30" i="9" s="1"/>
  <c r="M8" i="9"/>
  <c r="N8" i="10"/>
  <c r="C35" i="9"/>
  <c r="E35" i="9" s="1"/>
  <c r="E56" i="9" s="1"/>
  <c r="P28" i="9"/>
  <c r="P30" i="9" s="1"/>
  <c r="M28" i="9"/>
  <c r="M30" i="9" s="1"/>
  <c r="K30" i="9"/>
  <c r="P30" i="5"/>
  <c r="P35" i="5" s="1"/>
  <c r="S35" i="5"/>
  <c r="T9" i="10"/>
  <c r="T12" i="10"/>
  <c r="T22" i="10"/>
  <c r="N15" i="10"/>
  <c r="T15" i="10"/>
  <c r="C15" i="10"/>
  <c r="D15" i="10" s="1"/>
  <c r="Q15" i="10"/>
  <c r="C9" i="10"/>
  <c r="D9" i="10" s="1"/>
  <c r="T19" i="10"/>
  <c r="T6" i="10"/>
  <c r="C16" i="10"/>
  <c r="D16" i="10" s="1"/>
  <c r="G58" i="10"/>
  <c r="G60" i="10" s="1"/>
  <c r="C11" i="10"/>
  <c r="D11" i="10" s="1"/>
  <c r="T11" i="10"/>
  <c r="C8" i="10"/>
  <c r="D8" i="10" s="1"/>
  <c r="T8" i="10"/>
  <c r="T5" i="10"/>
  <c r="C5" i="10"/>
  <c r="D5" i="10" s="1"/>
  <c r="D28" i="10" s="1"/>
  <c r="T23" i="10"/>
  <c r="C23" i="10"/>
  <c r="D23" i="10" s="1"/>
  <c r="T20" i="10"/>
  <c r="C20" i="10"/>
  <c r="D20" i="10" s="1"/>
  <c r="C17" i="10"/>
  <c r="D17" i="10" s="1"/>
  <c r="T17" i="10"/>
  <c r="T14" i="10"/>
  <c r="C14" i="10"/>
  <c r="D14" i="10" s="1"/>
  <c r="G24" i="10"/>
  <c r="T21" i="10"/>
  <c r="C22" i="10"/>
  <c r="D22" i="10" s="1"/>
  <c r="N24" i="10"/>
  <c r="G15" i="10"/>
  <c r="G30" i="10" s="1"/>
  <c r="Q24" i="10"/>
  <c r="T13" i="10"/>
  <c r="T18" i="10"/>
  <c r="C12" i="10"/>
  <c r="D12" i="10" s="1"/>
  <c r="S20" i="9"/>
  <c r="S14" i="9"/>
  <c r="S8" i="9"/>
  <c r="S7" i="9"/>
  <c r="S13" i="9"/>
  <c r="S19" i="9"/>
  <c r="S24" i="9"/>
  <c r="H56" i="9"/>
  <c r="Q30" i="9"/>
  <c r="U24" i="5"/>
  <c r="G16" i="5"/>
  <c r="Q16" i="5"/>
  <c r="T16" i="5"/>
  <c r="U16" i="5" s="1"/>
  <c r="N16" i="5"/>
  <c r="D16" i="5"/>
  <c r="G10" i="5"/>
  <c r="Q10" i="5"/>
  <c r="T10" i="5"/>
  <c r="U10" i="5" s="1"/>
  <c r="N10" i="5"/>
  <c r="D10" i="5"/>
  <c r="T22" i="5"/>
  <c r="U22" i="5" s="1"/>
  <c r="D22" i="5"/>
  <c r="D21" i="5"/>
  <c r="N21" i="5"/>
  <c r="G22" i="5"/>
  <c r="Q22" i="5"/>
  <c r="G21" i="5"/>
  <c r="T21" i="5"/>
  <c r="U21" i="5" s="1"/>
  <c r="N22" i="5"/>
  <c r="Q21" i="5"/>
  <c r="T15" i="5"/>
  <c r="U15" i="5" s="1"/>
  <c r="N15" i="5"/>
  <c r="D15" i="5"/>
  <c r="G15" i="5"/>
  <c r="Q15" i="5"/>
  <c r="G9" i="5"/>
  <c r="Q9" i="5"/>
  <c r="T9" i="5"/>
  <c r="U9" i="5" s="1"/>
  <c r="D9" i="5"/>
  <c r="N9" i="5"/>
  <c r="D14" i="5"/>
  <c r="D23" i="5"/>
  <c r="G11" i="5"/>
  <c r="Q20" i="5"/>
  <c r="T7" i="5"/>
  <c r="U7" i="5" s="1"/>
  <c r="T23" i="5"/>
  <c r="U23" i="5" s="1"/>
  <c r="Q8" i="5"/>
  <c r="D20" i="5"/>
  <c r="G7" i="5"/>
  <c r="N11" i="5"/>
  <c r="Q23" i="5"/>
  <c r="T11" i="5"/>
  <c r="U11" i="5" s="1"/>
  <c r="T19" i="5"/>
  <c r="U19" i="5" s="1"/>
  <c r="D8" i="5"/>
  <c r="N5" i="5"/>
  <c r="G5" i="5"/>
  <c r="T5" i="5"/>
  <c r="U5" i="5" s="1"/>
  <c r="D5" i="5"/>
  <c r="T13" i="5"/>
  <c r="U13" i="5" s="1"/>
  <c r="G8" i="5"/>
  <c r="G14" i="5"/>
  <c r="G20" i="5"/>
  <c r="T8" i="5"/>
  <c r="U8" i="5" s="1"/>
  <c r="T14" i="5"/>
  <c r="U14" i="5" s="1"/>
  <c r="T20" i="5"/>
  <c r="U20" i="5" s="1"/>
  <c r="N7" i="5"/>
  <c r="N13" i="5"/>
  <c r="N19" i="5"/>
  <c r="D7" i="5"/>
  <c r="D13" i="5"/>
  <c r="D19" i="5"/>
  <c r="H28" i="9"/>
  <c r="H30" i="9" s="1"/>
  <c r="C56" i="9" l="1"/>
  <c r="Q30" i="10"/>
  <c r="N28" i="10"/>
  <c r="N30" i="10" s="1"/>
  <c r="T28" i="10"/>
  <c r="T30" i="10" s="1"/>
  <c r="U28" i="5"/>
  <c r="U35" i="5" s="1"/>
  <c r="U30" i="5" l="1"/>
  <c r="C17" i="6" l="1"/>
  <c r="O4" i="6" l="1"/>
  <c r="O17" i="6"/>
  <c r="K4" i="6"/>
  <c r="I4" i="6"/>
  <c r="I17" i="6"/>
  <c r="E17" i="6"/>
  <c r="C4" i="6"/>
  <c r="F59" i="5" l="1"/>
  <c r="C59" i="5"/>
  <c r="H58" i="5"/>
  <c r="E58" i="5"/>
  <c r="H57" i="5"/>
  <c r="E57" i="5"/>
  <c r="H56" i="5"/>
  <c r="E56" i="5"/>
  <c r="H55" i="5"/>
  <c r="E55" i="5"/>
  <c r="H54" i="5"/>
  <c r="E54" i="5"/>
  <c r="H53" i="5"/>
  <c r="E53" i="5"/>
  <c r="H52" i="5"/>
  <c r="E52" i="5"/>
  <c r="H51" i="5"/>
  <c r="E51" i="5"/>
  <c r="H50" i="5"/>
  <c r="E50" i="5"/>
  <c r="H49" i="5"/>
  <c r="E49" i="5"/>
  <c r="H48" i="5"/>
  <c r="E48" i="5"/>
  <c r="H47" i="5"/>
  <c r="E47" i="5"/>
  <c r="H46" i="5"/>
  <c r="E46" i="5"/>
  <c r="H45" i="5"/>
  <c r="E45" i="5"/>
  <c r="H44" i="5"/>
  <c r="E44" i="5"/>
  <c r="H43" i="5"/>
  <c r="E43" i="5"/>
  <c r="H42" i="5"/>
  <c r="E42" i="5"/>
  <c r="H41" i="5"/>
  <c r="E41" i="5"/>
  <c r="H40" i="5"/>
  <c r="E40" i="5"/>
  <c r="H39" i="5"/>
  <c r="E39" i="5"/>
  <c r="H38" i="5"/>
  <c r="E38" i="5"/>
  <c r="H37" i="5"/>
  <c r="E37" i="5"/>
  <c r="M28" i="5"/>
  <c r="M30" i="5" s="1"/>
  <c r="R27" i="5"/>
  <c r="O27" i="5"/>
  <c r="R26" i="5"/>
  <c r="O26" i="5"/>
  <c r="R25" i="5"/>
  <c r="O25" i="5"/>
  <c r="R23" i="5"/>
  <c r="O23" i="5"/>
  <c r="R22" i="5"/>
  <c r="O22" i="5"/>
  <c r="R21" i="5"/>
  <c r="O21" i="5"/>
  <c r="R20" i="5"/>
  <c r="O20" i="5"/>
  <c r="R19" i="5"/>
  <c r="O19" i="5"/>
  <c r="R18" i="5"/>
  <c r="O18" i="5"/>
  <c r="R17" i="5"/>
  <c r="O17" i="5"/>
  <c r="R16" i="5"/>
  <c r="O16" i="5"/>
  <c r="R15" i="5"/>
  <c r="O15" i="5"/>
  <c r="R14" i="5"/>
  <c r="O14" i="5"/>
  <c r="R13" i="5"/>
  <c r="O13" i="5"/>
  <c r="R12" i="5"/>
  <c r="O12" i="5"/>
  <c r="R11" i="5"/>
  <c r="O11" i="5"/>
  <c r="R10" i="5"/>
  <c r="O10" i="5"/>
  <c r="R9" i="5"/>
  <c r="O9" i="5"/>
  <c r="R8" i="5"/>
  <c r="O8" i="5"/>
  <c r="R7" i="5"/>
  <c r="O7" i="5"/>
  <c r="R6" i="5"/>
  <c r="O6" i="5"/>
  <c r="R5" i="5"/>
  <c r="O5" i="5"/>
  <c r="O28" i="5" l="1"/>
  <c r="O30" i="5" s="1"/>
  <c r="O5" i="6" s="1"/>
  <c r="O6" i="6" s="1"/>
  <c r="R28" i="5"/>
  <c r="Q35" i="9" s="1"/>
  <c r="H59" i="5"/>
  <c r="E59" i="5"/>
  <c r="H15" i="5"/>
  <c r="E15" i="5"/>
  <c r="N33" i="10" l="1"/>
  <c r="R30" i="5"/>
  <c r="Q6" i="6" s="1"/>
  <c r="Q19" i="6" s="1"/>
  <c r="O19" i="6"/>
  <c r="F28" i="5"/>
  <c r="C28" i="5"/>
  <c r="H27" i="5"/>
  <c r="E27" i="5"/>
  <c r="H26" i="5"/>
  <c r="E26" i="5"/>
  <c r="H25" i="5"/>
  <c r="E25" i="5"/>
  <c r="H23" i="5"/>
  <c r="E23" i="5"/>
  <c r="H22" i="5"/>
  <c r="E22" i="5"/>
  <c r="H21" i="5"/>
  <c r="E21" i="5"/>
  <c r="H20" i="5"/>
  <c r="E20" i="5"/>
  <c r="H19" i="5"/>
  <c r="E19" i="5"/>
  <c r="H18" i="5"/>
  <c r="E18" i="5"/>
  <c r="H17" i="5"/>
  <c r="E17" i="5"/>
  <c r="H16" i="5"/>
  <c r="E16" i="5"/>
  <c r="H14" i="5"/>
  <c r="E14" i="5"/>
  <c r="H13" i="5"/>
  <c r="E13" i="5"/>
  <c r="H12" i="5"/>
  <c r="E12" i="5"/>
  <c r="H11" i="5"/>
  <c r="E11" i="5"/>
  <c r="H10" i="5"/>
  <c r="E10" i="5"/>
  <c r="H9" i="5"/>
  <c r="E9" i="5"/>
  <c r="H8" i="5"/>
  <c r="E8" i="5"/>
  <c r="H7" i="5"/>
  <c r="E7" i="5"/>
  <c r="H6" i="5"/>
  <c r="E6" i="5"/>
  <c r="H5" i="5"/>
  <c r="M35" i="9" l="1"/>
  <c r="F2" i="6"/>
  <c r="F3" i="6" s="1"/>
  <c r="E28" i="5"/>
  <c r="H28" i="5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51" i="4" l="1"/>
  <c r="E24" i="4" l="1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25" i="4" l="1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F53" i="4" l="1"/>
  <c r="C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E53" i="4"/>
  <c r="N25" i="4"/>
  <c r="N27" i="4" s="1"/>
  <c r="K25" i="4"/>
  <c r="K27" i="4" s="1"/>
  <c r="F25" i="4"/>
  <c r="C25" i="4"/>
  <c r="P24" i="4"/>
  <c r="H24" i="4"/>
  <c r="P23" i="4"/>
  <c r="H23" i="4"/>
  <c r="P22" i="4"/>
  <c r="H22" i="4"/>
  <c r="P21" i="4"/>
  <c r="H21" i="4"/>
  <c r="P20" i="4"/>
  <c r="H20" i="4"/>
  <c r="P19" i="4"/>
  <c r="H19" i="4"/>
  <c r="P18" i="4"/>
  <c r="H18" i="4"/>
  <c r="P17" i="4"/>
  <c r="H17" i="4"/>
  <c r="P16" i="4"/>
  <c r="H16" i="4"/>
  <c r="P15" i="4"/>
  <c r="H15" i="4"/>
  <c r="P14" i="4"/>
  <c r="H14" i="4"/>
  <c r="P13" i="4"/>
  <c r="H13" i="4"/>
  <c r="P12" i="4"/>
  <c r="H12" i="4"/>
  <c r="P11" i="4"/>
  <c r="H11" i="4"/>
  <c r="P10" i="4"/>
  <c r="H10" i="4"/>
  <c r="P9" i="4"/>
  <c r="H9" i="4"/>
  <c r="P8" i="4"/>
  <c r="H8" i="4"/>
  <c r="P7" i="4"/>
  <c r="H7" i="4"/>
  <c r="P6" i="4"/>
  <c r="H6" i="4"/>
  <c r="P5" i="4"/>
  <c r="H5" i="4"/>
  <c r="P4" i="4"/>
  <c r="M4" i="4"/>
  <c r="M25" i="4" s="1"/>
  <c r="H4" i="4"/>
  <c r="H25" i="4" l="1"/>
  <c r="H27" i="4" s="1"/>
  <c r="H53" i="4"/>
  <c r="M27" i="4"/>
  <c r="I5" i="6" s="1"/>
  <c r="I6" i="6" s="1"/>
  <c r="I19" i="6" s="1"/>
  <c r="P25" i="4"/>
  <c r="P27" i="4" s="1"/>
  <c r="K5" i="6" s="1"/>
  <c r="K6" i="6" s="1"/>
  <c r="K19" i="6" s="1"/>
  <c r="E55" i="3"/>
  <c r="B55" i="3"/>
  <c r="G54" i="3"/>
  <c r="G53" i="3"/>
  <c r="G52" i="3"/>
  <c r="G51" i="3"/>
  <c r="D51" i="3"/>
  <c r="G50" i="3"/>
  <c r="D50" i="3"/>
  <c r="G49" i="3"/>
  <c r="D49" i="3"/>
  <c r="G48" i="3"/>
  <c r="D48" i="3"/>
  <c r="G47" i="3"/>
  <c r="D47" i="3"/>
  <c r="G46" i="3"/>
  <c r="D46" i="3"/>
  <c r="G45" i="3"/>
  <c r="D45" i="3"/>
  <c r="G44" i="3"/>
  <c r="D44" i="3"/>
  <c r="G43" i="3"/>
  <c r="D43" i="3"/>
  <c r="G42" i="3"/>
  <c r="D42" i="3"/>
  <c r="G41" i="3"/>
  <c r="D41" i="3"/>
  <c r="G40" i="3"/>
  <c r="D40" i="3"/>
  <c r="G39" i="3"/>
  <c r="D39" i="3"/>
  <c r="G38" i="3"/>
  <c r="D38" i="3"/>
  <c r="G37" i="3"/>
  <c r="D37" i="3"/>
  <c r="G36" i="3"/>
  <c r="D36" i="3"/>
  <c r="G35" i="3"/>
  <c r="D35" i="3"/>
  <c r="G34" i="3"/>
  <c r="D34" i="3"/>
  <c r="G55" i="3" l="1"/>
  <c r="G57" i="3" s="1"/>
  <c r="D55" i="3"/>
  <c r="O25" i="3"/>
  <c r="O27" i="3" s="1"/>
  <c r="L25" i="3"/>
  <c r="L27" i="3" s="1"/>
  <c r="Q24" i="3"/>
  <c r="Q23" i="3"/>
  <c r="Q22" i="3"/>
  <c r="Q21" i="3"/>
  <c r="N21" i="3"/>
  <c r="Q20" i="3"/>
  <c r="N20" i="3"/>
  <c r="Q19" i="3"/>
  <c r="N19" i="3"/>
  <c r="Q18" i="3"/>
  <c r="N18" i="3"/>
  <c r="Q17" i="3"/>
  <c r="N17" i="3"/>
  <c r="Q16" i="3"/>
  <c r="N16" i="3"/>
  <c r="Q15" i="3"/>
  <c r="N15" i="3"/>
  <c r="Q14" i="3"/>
  <c r="N14" i="3"/>
  <c r="Q13" i="3"/>
  <c r="N13" i="3"/>
  <c r="Q12" i="3"/>
  <c r="N12" i="3"/>
  <c r="Q11" i="3"/>
  <c r="N11" i="3"/>
  <c r="Q10" i="3"/>
  <c r="N10" i="3"/>
  <c r="Q9" i="3"/>
  <c r="N9" i="3"/>
  <c r="Q8" i="3"/>
  <c r="N8" i="3"/>
  <c r="Q7" i="3"/>
  <c r="N7" i="3"/>
  <c r="Q6" i="3"/>
  <c r="N6" i="3"/>
  <c r="Q5" i="3"/>
  <c r="N5" i="3"/>
  <c r="Q4" i="3"/>
  <c r="N4" i="3"/>
  <c r="G11" i="3"/>
  <c r="D11" i="3"/>
  <c r="N25" i="3" l="1"/>
  <c r="N27" i="3" s="1"/>
  <c r="C5" i="6" s="1"/>
  <c r="C6" i="6" s="1"/>
  <c r="C19" i="6" s="1"/>
  <c r="Q25" i="3"/>
  <c r="G10" i="3"/>
  <c r="D21" i="3"/>
  <c r="D20" i="3"/>
  <c r="D19" i="3"/>
  <c r="D18" i="3"/>
  <c r="D17" i="3"/>
  <c r="D16" i="3"/>
  <c r="D15" i="3"/>
  <c r="D14" i="3"/>
  <c r="D13" i="3"/>
  <c r="D12" i="3"/>
  <c r="D10" i="3"/>
  <c r="D9" i="3"/>
  <c r="D8" i="3"/>
  <c r="D7" i="3"/>
  <c r="D6" i="3"/>
  <c r="D5" i="3"/>
  <c r="D4" i="3"/>
  <c r="E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9" i="3"/>
  <c r="G8" i="3"/>
  <c r="G7" i="3"/>
  <c r="G6" i="3"/>
  <c r="G5" i="3"/>
  <c r="G4" i="3"/>
  <c r="B25" i="3"/>
  <c r="Q27" i="3" l="1"/>
  <c r="E5" i="6" s="1"/>
  <c r="E19" i="6"/>
  <c r="E21" i="6" s="1"/>
  <c r="D25" i="3"/>
  <c r="G25" i="3"/>
  <c r="G27" i="3" s="1"/>
  <c r="X85" i="2"/>
  <c r="W85" i="2"/>
  <c r="R85" i="2"/>
  <c r="O85" i="2"/>
  <c r="T84" i="2"/>
  <c r="Q84" i="2"/>
  <c r="T83" i="2"/>
  <c r="Q83" i="2"/>
  <c r="T82" i="2"/>
  <c r="Q82" i="2"/>
  <c r="T81" i="2"/>
  <c r="Q81" i="2"/>
  <c r="T80" i="2"/>
  <c r="Q80" i="2"/>
  <c r="T79" i="2"/>
  <c r="Q79" i="2"/>
  <c r="T78" i="2"/>
  <c r="Q78" i="2"/>
  <c r="T77" i="2"/>
  <c r="Q77" i="2"/>
  <c r="T76" i="2"/>
  <c r="Q76" i="2"/>
  <c r="T75" i="2"/>
  <c r="Q75" i="2"/>
  <c r="T74" i="2"/>
  <c r="Q74" i="2"/>
  <c r="T73" i="2"/>
  <c r="Q73" i="2"/>
  <c r="T72" i="2"/>
  <c r="Q72" i="2"/>
  <c r="T71" i="2"/>
  <c r="Q71" i="2"/>
  <c r="T70" i="2"/>
  <c r="Q70" i="2"/>
  <c r="T69" i="2"/>
  <c r="Q69" i="2"/>
  <c r="T68" i="2"/>
  <c r="Q68" i="2"/>
  <c r="T85" i="2" l="1"/>
  <c r="T87" i="2" s="1"/>
  <c r="Q85" i="2"/>
  <c r="Q87" i="2" s="1"/>
  <c r="X60" i="2" l="1"/>
  <c r="W60" i="2"/>
  <c r="R60" i="2"/>
  <c r="O60" i="2"/>
  <c r="T59" i="2"/>
  <c r="Q59" i="2"/>
  <c r="T58" i="2"/>
  <c r="Q58" i="2"/>
  <c r="T57" i="2"/>
  <c r="Q57" i="2"/>
  <c r="T56" i="2"/>
  <c r="Q56" i="2"/>
  <c r="T55" i="2"/>
  <c r="Q55" i="2"/>
  <c r="T54" i="2"/>
  <c r="Q54" i="2"/>
  <c r="T53" i="2"/>
  <c r="Q53" i="2"/>
  <c r="T52" i="2"/>
  <c r="Q52" i="2"/>
  <c r="T51" i="2"/>
  <c r="Q51" i="2"/>
  <c r="T50" i="2"/>
  <c r="Q50" i="2"/>
  <c r="T49" i="2"/>
  <c r="Q49" i="2"/>
  <c r="T48" i="2"/>
  <c r="Q48" i="2"/>
  <c r="T47" i="2"/>
  <c r="Q47" i="2"/>
  <c r="T46" i="2"/>
  <c r="Q46" i="2"/>
  <c r="T45" i="2"/>
  <c r="Q45" i="2"/>
  <c r="T44" i="2"/>
  <c r="Q44" i="2"/>
  <c r="T43" i="2"/>
  <c r="Q43" i="2"/>
  <c r="Q60" i="2" l="1"/>
  <c r="Q62" i="2" s="1"/>
  <c r="T60" i="2"/>
  <c r="T62" i="2" s="1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D95" i="2"/>
  <c r="E106" i="2" l="1"/>
  <c r="B102" i="2"/>
  <c r="B101" i="2"/>
  <c r="B100" i="2"/>
  <c r="B98" i="2"/>
  <c r="B97" i="2"/>
  <c r="B96" i="2"/>
  <c r="B94" i="2"/>
  <c r="B92" i="2"/>
  <c r="B91" i="2"/>
  <c r="B90" i="2"/>
  <c r="D89" i="2" l="1"/>
  <c r="B88" i="2" l="1"/>
  <c r="B87" i="2"/>
  <c r="B106" i="2" s="1"/>
  <c r="G87" i="2"/>
  <c r="G106" i="2" l="1"/>
  <c r="G108" i="2" s="1"/>
  <c r="E79" i="2"/>
  <c r="K44" i="2" l="1"/>
  <c r="J44" i="2"/>
  <c r="G63" i="2" l="1"/>
  <c r="G62" i="2"/>
  <c r="G60" i="2"/>
  <c r="G59" i="2"/>
  <c r="G58" i="2"/>
  <c r="G57" i="2"/>
  <c r="G56" i="2"/>
  <c r="G55" i="2"/>
  <c r="G54" i="2"/>
  <c r="G53" i="2"/>
  <c r="G61" i="2"/>
  <c r="D54" i="2"/>
  <c r="B79" i="2"/>
  <c r="G78" i="2"/>
  <c r="D78" i="2"/>
  <c r="G77" i="2"/>
  <c r="D77" i="2"/>
  <c r="G76" i="2"/>
  <c r="D76" i="2"/>
  <c r="G75" i="2"/>
  <c r="D75" i="2"/>
  <c r="G74" i="2"/>
  <c r="D74" i="2"/>
  <c r="G73" i="2"/>
  <c r="D73" i="2"/>
  <c r="G72" i="2"/>
  <c r="D72" i="2"/>
  <c r="E64" i="2"/>
  <c r="B64" i="2"/>
  <c r="D63" i="2"/>
  <c r="D62" i="2"/>
  <c r="D61" i="2"/>
  <c r="D60" i="2"/>
  <c r="D59" i="2"/>
  <c r="D58" i="2"/>
  <c r="D57" i="2"/>
  <c r="D56" i="2"/>
  <c r="D55" i="2"/>
  <c r="D53" i="2"/>
  <c r="E44" i="2"/>
  <c r="B44" i="2"/>
  <c r="G43" i="2"/>
  <c r="D43" i="2"/>
  <c r="G42" i="2"/>
  <c r="D42" i="2"/>
  <c r="G41" i="2"/>
  <c r="D41" i="2"/>
  <c r="G40" i="2"/>
  <c r="D40" i="2"/>
  <c r="G39" i="2"/>
  <c r="D39" i="2"/>
  <c r="G38" i="2"/>
  <c r="D38" i="2"/>
  <c r="G37" i="2"/>
  <c r="D37" i="2"/>
  <c r="G36" i="2"/>
  <c r="D36" i="2"/>
  <c r="G35" i="2"/>
  <c r="D35" i="2"/>
  <c r="G34" i="2"/>
  <c r="D34" i="2"/>
  <c r="G33" i="2"/>
  <c r="D33" i="2"/>
  <c r="G32" i="2"/>
  <c r="D32" i="2"/>
  <c r="G31" i="2"/>
  <c r="D31" i="2"/>
  <c r="G30" i="2"/>
  <c r="D30" i="2"/>
  <c r="G29" i="2"/>
  <c r="D29" i="2"/>
  <c r="G28" i="2"/>
  <c r="D28" i="2"/>
  <c r="G27" i="2"/>
  <c r="D27" i="2"/>
  <c r="E22" i="2"/>
  <c r="B22" i="2"/>
  <c r="G21" i="2"/>
  <c r="D21" i="2"/>
  <c r="G20" i="2"/>
  <c r="D20" i="2"/>
  <c r="G19" i="2"/>
  <c r="D19" i="2"/>
  <c r="G18" i="2"/>
  <c r="D18" i="2"/>
  <c r="G17" i="2"/>
  <c r="D17" i="2"/>
  <c r="G16" i="2"/>
  <c r="D16" i="2"/>
  <c r="G15" i="2"/>
  <c r="D15" i="2"/>
  <c r="G14" i="2"/>
  <c r="D14" i="2"/>
  <c r="G13" i="2"/>
  <c r="D13" i="2"/>
  <c r="G12" i="2"/>
  <c r="D12" i="2"/>
  <c r="G11" i="2"/>
  <c r="D11" i="2"/>
  <c r="G10" i="2"/>
  <c r="D10" i="2"/>
  <c r="G9" i="2"/>
  <c r="D9" i="2"/>
  <c r="G8" i="2"/>
  <c r="D8" i="2"/>
  <c r="G7" i="2"/>
  <c r="D7" i="2"/>
  <c r="G6" i="2"/>
  <c r="D6" i="2"/>
  <c r="G5" i="2"/>
  <c r="D5" i="2"/>
  <c r="E82" i="1"/>
  <c r="B82" i="1"/>
  <c r="G81" i="1"/>
  <c r="D81" i="1"/>
  <c r="G80" i="1"/>
  <c r="D80" i="1"/>
  <c r="G79" i="1"/>
  <c r="D79" i="1"/>
  <c r="G78" i="1"/>
  <c r="D78" i="1"/>
  <c r="G77" i="1"/>
  <c r="D77" i="1"/>
  <c r="G76" i="1"/>
  <c r="D76" i="1"/>
  <c r="D82" i="1" s="1"/>
  <c r="G75" i="1"/>
  <c r="D75" i="1"/>
  <c r="G82" i="1" l="1"/>
  <c r="D22" i="2"/>
  <c r="D79" i="2"/>
  <c r="D81" i="2" s="1"/>
  <c r="G22" i="2"/>
  <c r="G44" i="2"/>
  <c r="G46" i="2" s="1"/>
  <c r="G79" i="2"/>
  <c r="G81" i="2" s="1"/>
  <c r="G64" i="2"/>
  <c r="G66" i="2" s="1"/>
  <c r="D64" i="2"/>
  <c r="D66" i="2" s="1"/>
  <c r="D44" i="2"/>
  <c r="D46" i="2" s="1"/>
  <c r="G64" i="1"/>
  <c r="D64" i="1"/>
  <c r="E65" i="1" l="1"/>
  <c r="B65" i="1"/>
  <c r="G63" i="1"/>
  <c r="D63" i="1"/>
  <c r="G62" i="1"/>
  <c r="D62" i="1"/>
  <c r="G61" i="1"/>
  <c r="D61" i="1"/>
  <c r="G60" i="1"/>
  <c r="D60" i="1"/>
  <c r="G59" i="1"/>
  <c r="D59" i="1"/>
  <c r="G58" i="1"/>
  <c r="D58" i="1"/>
  <c r="G57" i="1"/>
  <c r="D57" i="1"/>
  <c r="G56" i="1"/>
  <c r="D56" i="1"/>
  <c r="G55" i="1"/>
  <c r="D55" i="1"/>
  <c r="G54" i="1"/>
  <c r="D54" i="1"/>
  <c r="D65" i="1" l="1"/>
  <c r="G65" i="1"/>
  <c r="E46" i="1" l="1"/>
  <c r="B46" i="1"/>
  <c r="G45" i="1"/>
  <c r="D45" i="1"/>
  <c r="G44" i="1"/>
  <c r="D44" i="1"/>
  <c r="G43" i="1"/>
  <c r="D43" i="1"/>
  <c r="G42" i="1"/>
  <c r="D42" i="1"/>
  <c r="G41" i="1"/>
  <c r="D41" i="1"/>
  <c r="G40" i="1"/>
  <c r="D40" i="1"/>
  <c r="G39" i="1"/>
  <c r="D39" i="1"/>
  <c r="G38" i="1"/>
  <c r="D38" i="1"/>
  <c r="G37" i="1"/>
  <c r="D37" i="1"/>
  <c r="G36" i="1"/>
  <c r="D36" i="1"/>
  <c r="G35" i="1"/>
  <c r="D35" i="1"/>
  <c r="G34" i="1"/>
  <c r="D34" i="1"/>
  <c r="G33" i="1"/>
  <c r="D33" i="1"/>
  <c r="G32" i="1"/>
  <c r="D32" i="1"/>
  <c r="G31" i="1"/>
  <c r="D31" i="1"/>
  <c r="G30" i="1"/>
  <c r="D30" i="1"/>
  <c r="G29" i="1"/>
  <c r="D29" i="1"/>
  <c r="E22" i="1"/>
  <c r="B22" i="1"/>
  <c r="G21" i="1"/>
  <c r="G20" i="1"/>
  <c r="G19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8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6" i="1" l="1"/>
  <c r="G46" i="1"/>
  <c r="D22" i="1"/>
  <c r="G22" i="1"/>
  <c r="D93" i="2"/>
  <c r="D106" i="2" s="1"/>
  <c r="D99" i="2"/>
  <c r="D5" i="9"/>
  <c r="E5" i="9"/>
  <c r="E28" i="9"/>
  <c r="S5" i="9"/>
  <c r="S28" i="9" l="1"/>
  <c r="S35" i="9" s="1"/>
  <c r="S30" i="9" l="1"/>
</calcChain>
</file>

<file path=xl/sharedStrings.xml><?xml version="1.0" encoding="utf-8"?>
<sst xmlns="http://schemas.openxmlformats.org/spreadsheetml/2006/main" count="1079" uniqueCount="110">
  <si>
    <t>СЕНТЯБРЬ</t>
  </si>
  <si>
    <t>816 груз.с краном</t>
  </si>
  <si>
    <t>301 бур-кран с автовышк.</t>
  </si>
  <si>
    <t>254 бур-кран+перевоз опор</t>
  </si>
  <si>
    <t>762 служебная</t>
  </si>
  <si>
    <t>187 груз.с краном</t>
  </si>
  <si>
    <t>703 бур-кран с автовышк</t>
  </si>
  <si>
    <t>168 служебная</t>
  </si>
  <si>
    <t>629 урал бур-кран</t>
  </si>
  <si>
    <t>185 груз.самосвал</t>
  </si>
  <si>
    <t>417 авто-вышка</t>
  </si>
  <si>
    <t>498 бур-кран,автовышк</t>
  </si>
  <si>
    <t>278 2-х кабин.грузовая</t>
  </si>
  <si>
    <t>дт75</t>
  </si>
  <si>
    <t>буровая гусеничн</t>
  </si>
  <si>
    <t>эксковатор</t>
  </si>
  <si>
    <t>ханикс</t>
  </si>
  <si>
    <t>АМУР-ЭП</t>
  </si>
  <si>
    <t>час</t>
  </si>
  <si>
    <t>цена</t>
  </si>
  <si>
    <t>сумма</t>
  </si>
  <si>
    <t>ЭС+</t>
  </si>
  <si>
    <t>Машина</t>
  </si>
  <si>
    <t>ИТОГО</t>
  </si>
  <si>
    <t>ОКТЯБРЬ</t>
  </si>
  <si>
    <t>ВАРГА</t>
  </si>
  <si>
    <t>НОЯБРЬ</t>
  </si>
  <si>
    <t>ТРАНСФЕР27</t>
  </si>
  <si>
    <t>110 экскаватор kubota</t>
  </si>
  <si>
    <t>25-31.09</t>
  </si>
  <si>
    <t>дата</t>
  </si>
  <si>
    <t>ч</t>
  </si>
  <si>
    <t>25-31,09</t>
  </si>
  <si>
    <t>01-30.09</t>
  </si>
  <si>
    <t>01-31.09</t>
  </si>
  <si>
    <t>Оплачено</t>
  </si>
  <si>
    <t>Итого</t>
  </si>
  <si>
    <t>ИТОГО на 10.12.2025</t>
  </si>
  <si>
    <t xml:space="preserve">Крымов </t>
  </si>
  <si>
    <t>Черкасская</t>
  </si>
  <si>
    <t>Трунин</t>
  </si>
  <si>
    <t>Шулико</t>
  </si>
  <si>
    <t>Некрутов</t>
  </si>
  <si>
    <t>ФИО</t>
  </si>
  <si>
    <t>л</t>
  </si>
  <si>
    <t>км</t>
  </si>
  <si>
    <t>Богатырев</t>
  </si>
  <si>
    <t>Оплачено на 12.12.2025</t>
  </si>
  <si>
    <t>Мурзин</t>
  </si>
  <si>
    <t>Амур-эп с сентября учтен в окт</t>
  </si>
  <si>
    <t>Леонов</t>
  </si>
  <si>
    <t>ДЕКАБРЬ</t>
  </si>
  <si>
    <t>110 HINO RANGER</t>
  </si>
  <si>
    <t>эксковатор KUBOTA KX-021</t>
  </si>
  <si>
    <t>ДТ 75</t>
  </si>
  <si>
    <t>генератор</t>
  </si>
  <si>
    <t>бензопила</t>
  </si>
  <si>
    <t>теплопушка</t>
  </si>
  <si>
    <t>НДС</t>
  </si>
  <si>
    <t>ЯНВАРЬ</t>
  </si>
  <si>
    <t>365 2-х кабинник</t>
  </si>
  <si>
    <t>344 2-х кабинник</t>
  </si>
  <si>
    <t>РАЗНИЦА</t>
  </si>
  <si>
    <t>ФАКТ</t>
  </si>
  <si>
    <t>Итого ОБЩАЯ</t>
  </si>
  <si>
    <t>ИТОГО ФАКТ</t>
  </si>
  <si>
    <t>ИТОГО РАЗНИЦА</t>
  </si>
  <si>
    <t>ФЕВРАЛЬ</t>
  </si>
  <si>
    <t>110 буровая</t>
  </si>
  <si>
    <t>278 2-х каб.груз.-бортовой</t>
  </si>
  <si>
    <t>344 2-х каб.груз.-бортовой</t>
  </si>
  <si>
    <t>762 служеб.м/автобус</t>
  </si>
  <si>
    <t>816 груз.-борт.с краном</t>
  </si>
  <si>
    <t>887 бур-кран с автовышк</t>
  </si>
  <si>
    <t>ДТ 42</t>
  </si>
  <si>
    <t>нет</t>
  </si>
  <si>
    <t>забирали с сентября</t>
  </si>
  <si>
    <t>МАРТ</t>
  </si>
  <si>
    <t>301+498 бур-кран с автовышк.</t>
  </si>
  <si>
    <t>301нет</t>
  </si>
  <si>
    <t>3000 было</t>
  </si>
  <si>
    <t>434 м/автобус(газель)</t>
  </si>
  <si>
    <t>эксковатор KUBOTA KX-021+HANIX</t>
  </si>
  <si>
    <t>общая</t>
  </si>
  <si>
    <t>Итого факт</t>
  </si>
  <si>
    <t>Итого разница</t>
  </si>
  <si>
    <t>ГСМ</t>
  </si>
  <si>
    <t>ОПЛАЧЕНО</t>
  </si>
  <si>
    <t>ОСТАТОК</t>
  </si>
  <si>
    <t>сч№21 от 30.01</t>
  </si>
  <si>
    <t>сч№22 30.01</t>
  </si>
  <si>
    <t>сч№28 от 28.02</t>
  </si>
  <si>
    <t xml:space="preserve">сч№13 от27.02 </t>
  </si>
  <si>
    <t>сч№30 от 31.03.</t>
  </si>
  <si>
    <t>сч№29 от31.03</t>
  </si>
  <si>
    <t>№70 от 03.03 по сч. 21</t>
  </si>
  <si>
    <t>№85 от 16.03 по сч.21</t>
  </si>
  <si>
    <t>№87 от 16.03 по сч.21</t>
  </si>
  <si>
    <t>№101от 31.03 по сч.21</t>
  </si>
  <si>
    <t>№1 от 22.01 по дог.</t>
  </si>
  <si>
    <t>№10 от 28.01 по дог</t>
  </si>
  <si>
    <t>№23 от 06.02 по дог</t>
  </si>
  <si>
    <t>№25 от 06.02 по дог</t>
  </si>
  <si>
    <t>№29 от 11.02 по дог</t>
  </si>
  <si>
    <t>№120от 14.04 по сч.21</t>
  </si>
  <si>
    <t>№123 от 14.04 по сч.21</t>
  </si>
  <si>
    <t>№157 от 22.04 по сч.21</t>
  </si>
  <si>
    <t xml:space="preserve">ИТОГО ОСТАТОК </t>
  </si>
  <si>
    <t>295+прицеп</t>
  </si>
  <si>
    <t>ИТОГО за 1 кв-л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</si>
</sst>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74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1" xfId="0" applyFont="1" applyBorder="1"/>
    <xf numFmtId="2" fontId="2" fillId="0" borderId="1" xfId="0" applyNumberFormat="1" applyFont="1" applyBorder="1"/>
    <xf numFmtId="0" fontId="2" fillId="0" borderId="0" xfId="0" applyFont="1"/>
    <xf numFmtId="4" fontId="1" fillId="0" borderId="1" xfId="0" applyNumberFormat="1" applyFont="1" applyBorder="1"/>
    <xf numFmtId="4" fontId="2" fillId="0" borderId="1" xfId="0" applyNumberFormat="1" applyFont="1" applyBorder="1"/>
    <xf numFmtId="0" fontId="2" fillId="0" borderId="0" xfId="0" applyFont="1" applyBorder="1"/>
    <xf numFmtId="0" fontId="1" fillId="0" borderId="0" xfId="0" applyFont="1" applyBorder="1"/>
    <xf numFmtId="4" fontId="1" fillId="0" borderId="0" xfId="0" applyNumberFormat="1" applyFont="1" applyBorder="1"/>
    <xf numFmtId="4" fontId="2" fillId="0" borderId="0" xfId="0" applyNumberFormat="1" applyFont="1" applyBorder="1"/>
    <xf numFmtId="0" fontId="0" fillId="0" borderId="1" xfId="0" applyBorder="1"/>
    <xf numFmtId="2" fontId="0" fillId="0" borderId="1" xfId="0" applyNumberFormat="1" applyBorder="1"/>
    <xf numFmtId="49" fontId="1" fillId="0" borderId="1" xfId="0" applyNumberFormat="1" applyFont="1" applyBorder="1"/>
    <xf numFmtId="0" fontId="3" fillId="0" borderId="1" xfId="0" applyFont="1" applyBorder="1"/>
    <xf numFmtId="2" fontId="3" fillId="0" borderId="1" xfId="0" applyNumberFormat="1" applyFont="1" applyBorder="1"/>
    <xf numFmtId="0" fontId="0" fillId="0" borderId="5" xfId="0" applyBorder="1"/>
    <xf numFmtId="0" fontId="0" fillId="0" borderId="7" xfId="0" applyBorder="1"/>
    <xf numFmtId="0" fontId="0" fillId="0" borderId="1" xfId="0" applyFill="1" applyBorder="1"/>
    <xf numFmtId="2" fontId="0" fillId="0" borderId="1" xfId="0" applyNumberFormat="1" applyFill="1" applyBorder="1"/>
    <xf numFmtId="0" fontId="1" fillId="2" borderId="1" xfId="0" applyFont="1" applyFill="1" applyBorder="1"/>
    <xf numFmtId="4" fontId="1" fillId="2" borderId="1" xfId="0" applyNumberFormat="1" applyFont="1" applyFill="1" applyBorder="1"/>
    <xf numFmtId="0" fontId="3" fillId="0" borderId="0" xfId="0" applyFont="1"/>
    <xf numFmtId="2" fontId="1" fillId="0" borderId="1" xfId="0" applyNumberFormat="1" applyFont="1" applyFill="1" applyBorder="1"/>
    <xf numFmtId="2" fontId="1" fillId="0" borderId="1" xfId="0" applyNumberFormat="1" applyFont="1" applyBorder="1"/>
    <xf numFmtId="0" fontId="2" fillId="2" borderId="0" xfId="0" applyFont="1" applyFill="1"/>
    <xf numFmtId="0" fontId="4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/>
    <xf numFmtId="0" fontId="1" fillId="0" borderId="0" xfId="0" applyFont="1" applyBorder="1" applyAlignment="1">
      <alignment horizontal="left"/>
    </xf>
    <xf numFmtId="2" fontId="1" fillId="0" borderId="0" xfId="0" applyNumberFormat="1" applyFont="1" applyBorder="1"/>
    <xf numFmtId="2" fontId="2" fillId="0" borderId="0" xfId="0" applyNumberFormat="1" applyFont="1" applyBorder="1"/>
    <xf numFmtId="0" fontId="2" fillId="0" borderId="0" xfId="0" applyFont="1" applyFill="1"/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/>
    <xf numFmtId="4" fontId="1" fillId="0" borderId="1" xfId="0" applyNumberFormat="1" applyFont="1" applyFill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/>
    <xf numFmtId="4" fontId="2" fillId="0" borderId="1" xfId="0" applyNumberFormat="1" applyFont="1" applyBorder="1" applyAlignment="1"/>
    <xf numFmtId="4" fontId="2" fillId="0" borderId="1" xfId="0" applyNumberFormat="1" applyFont="1" applyFill="1" applyBorder="1" applyAlignment="1"/>
    <xf numFmtId="4" fontId="5" fillId="0" borderId="1" xfId="0" applyNumberFormat="1" applyFont="1" applyBorder="1"/>
    <xf numFmtId="4" fontId="5" fillId="0" borderId="0" xfId="0" applyNumberFormat="1" applyFont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/>
    </xf>
    <xf numFmtId="4" fontId="2" fillId="0" borderId="0" xfId="0" applyNumberFormat="1" applyFont="1" applyBorder="1" applyAlignment="1"/>
    <xf numFmtId="4" fontId="2" fillId="0" borderId="0" xfId="0" applyNumberFormat="1" applyFont="1" applyFill="1" applyBorder="1" applyAlignment="1"/>
    <xf numFmtId="0" fontId="2" fillId="0" borderId="0" xfId="0" applyFont="1" applyBorder="1" applyAlignment="1"/>
    <xf numFmtId="4" fontId="2" fillId="0" borderId="0" xfId="0" applyNumberFormat="1" applyFont="1" applyFill="1" applyBorder="1" applyAlignment="1">
      <alignment horizontal="center"/>
    </xf>
    <xf numFmtId="0" fontId="1" fillId="0" borderId="0" xfId="0" applyFont="1" applyFill="1"/>
    <xf numFmtId="0" fontId="7" fillId="0" borderId="1" xfId="0" applyFont="1" applyBorder="1"/>
    <xf numFmtId="2" fontId="7" fillId="0" borderId="1" xfId="0" applyNumberFormat="1" applyFont="1" applyBorder="1"/>
    <xf numFmtId="0" fontId="7" fillId="0" borderId="0" xfId="0" applyFont="1"/>
    <xf numFmtId="4" fontId="0" fillId="0" borderId="0" xfId="0" applyNumberFormat="1"/>
    <xf numFmtId="0" fontId="7" fillId="0" borderId="1" xfId="0" applyFont="1" applyFill="1" applyBorder="1"/>
    <xf numFmtId="2" fontId="7" fillId="0" borderId="0" xfId="0" applyNumberFormat="1" applyFont="1"/>
    <xf numFmtId="2" fontId="5" fillId="0" borderId="1" xfId="0" applyNumberFormat="1" applyFont="1" applyBorder="1"/>
    <xf numFmtId="2" fontId="5" fillId="0" borderId="1" xfId="0" applyNumberFormat="1" applyFont="1" applyFill="1" applyBorder="1"/>
    <xf numFmtId="4" fontId="6" fillId="3" borderId="1" xfId="1" applyNumberFormat="1" applyBorder="1"/>
    <xf numFmtId="0" fontId="1" fillId="0" borderId="8" xfId="0" applyFont="1" applyBorder="1" applyAlignment="1"/>
    <xf numFmtId="0" fontId="0" fillId="0" borderId="9" xfId="0" applyBorder="1" applyAlignment="1"/>
    <xf numFmtId="0" fontId="0" fillId="0" borderId="4" xfId="0" applyBorder="1" applyAlignment="1"/>
    <xf numFmtId="0" fontId="2" fillId="0" borderId="1" xfId="0" applyFont="1" applyFill="1" applyBorder="1" applyAlignment="1">
      <alignment horizontal="center"/>
    </xf>
    <xf numFmtId="4" fontId="2" fillId="0" borderId="1" xfId="0" applyNumberFormat="1" applyFont="1" applyBorder="1" applyAlignment="1">
      <alignment horizontal="center"/>
    </xf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5"/>
  <sheetViews>
    <sheetView topLeftCell="A61" workbookViewId="0">
      <selection activeCell="A25" sqref="A25:A26"/>
    </sheetView>
  </sheetViews>
  <sheetFormatPr defaultRowHeight="15" x14ac:dyDescent="0.25"/>
  <cols>
    <col min="1" max="1" width="28.42578125" customWidth="1"/>
    <col min="2" max="2" width="9.28515625" bestFit="1" customWidth="1"/>
    <col min="3" max="3" width="9.42578125" bestFit="1" customWidth="1"/>
    <col min="4" max="4" width="13.140625" bestFit="1" customWidth="1"/>
    <col min="5" max="6" width="9.28515625" bestFit="1" customWidth="1"/>
    <col min="7" max="7" width="17.85546875" customWidth="1"/>
  </cols>
  <sheetData>
    <row r="1" spans="1:7" s="1" customFormat="1" ht="15.75" x14ac:dyDescent="0.25">
      <c r="B1" s="14" t="s">
        <v>0</v>
      </c>
    </row>
    <row r="2" spans="1:7" s="1" customFormat="1" ht="15.75" x14ac:dyDescent="0.25"/>
    <row r="3" spans="1:7" s="1" customFormat="1" ht="15.75" x14ac:dyDescent="0.25">
      <c r="A3" s="9" t="s">
        <v>22</v>
      </c>
      <c r="B3" s="10" t="s">
        <v>17</v>
      </c>
      <c r="C3" s="2"/>
      <c r="D3" s="3"/>
      <c r="E3" s="10" t="s">
        <v>21</v>
      </c>
      <c r="F3" s="2"/>
      <c r="G3" s="3"/>
    </row>
    <row r="4" spans="1:7" s="1" customFormat="1" ht="15.75" x14ac:dyDescent="0.25">
      <c r="A4" s="8"/>
      <c r="B4" s="4" t="s">
        <v>18</v>
      </c>
      <c r="C4" s="8" t="s">
        <v>19</v>
      </c>
      <c r="D4" s="11" t="s">
        <v>20</v>
      </c>
      <c r="E4" s="8" t="s">
        <v>18</v>
      </c>
      <c r="F4" s="8" t="s">
        <v>19</v>
      </c>
      <c r="G4" s="11" t="s">
        <v>20</v>
      </c>
    </row>
    <row r="5" spans="1:7" s="1" customFormat="1" ht="15.75" x14ac:dyDescent="0.25">
      <c r="A5" s="5">
        <v>110</v>
      </c>
      <c r="B5" s="6">
        <v>80</v>
      </c>
      <c r="C5" s="15">
        <v>3500</v>
      </c>
      <c r="D5" s="15">
        <f>B5*C5</f>
        <v>280000</v>
      </c>
      <c r="E5" s="7">
        <v>40</v>
      </c>
      <c r="F5" s="15">
        <v>3500</v>
      </c>
      <c r="G5" s="15">
        <f t="shared" ref="G5:G17" si="0">E5*F5</f>
        <v>140000</v>
      </c>
    </row>
    <row r="6" spans="1:7" s="1" customFormat="1" ht="15.75" x14ac:dyDescent="0.25">
      <c r="A6" s="6" t="s">
        <v>7</v>
      </c>
      <c r="B6" s="6">
        <v>220</v>
      </c>
      <c r="C6" s="15">
        <v>1000</v>
      </c>
      <c r="D6" s="15">
        <f t="shared" ref="D6:D21" si="1">B6*C6</f>
        <v>220000</v>
      </c>
      <c r="E6" s="6"/>
      <c r="F6" s="15"/>
      <c r="G6" s="15">
        <f t="shared" si="0"/>
        <v>0</v>
      </c>
    </row>
    <row r="7" spans="1:7" s="1" customFormat="1" ht="15.75" x14ac:dyDescent="0.25">
      <c r="A7" s="6" t="s">
        <v>9</v>
      </c>
      <c r="B7" s="6">
        <v>136</v>
      </c>
      <c r="C7" s="15">
        <v>3500</v>
      </c>
      <c r="D7" s="15">
        <f t="shared" si="1"/>
        <v>476000</v>
      </c>
      <c r="E7" s="6"/>
      <c r="F7" s="15"/>
      <c r="G7" s="15">
        <f t="shared" si="0"/>
        <v>0</v>
      </c>
    </row>
    <row r="8" spans="1:7" s="1" customFormat="1" ht="15.75" x14ac:dyDescent="0.25">
      <c r="A8" s="6" t="s">
        <v>5</v>
      </c>
      <c r="B8" s="6">
        <v>40</v>
      </c>
      <c r="C8" s="15">
        <v>3500</v>
      </c>
      <c r="D8" s="15">
        <f t="shared" si="1"/>
        <v>140000</v>
      </c>
      <c r="E8" s="6">
        <v>96</v>
      </c>
      <c r="F8" s="15">
        <v>3500</v>
      </c>
      <c r="G8" s="15">
        <f t="shared" si="0"/>
        <v>336000</v>
      </c>
    </row>
    <row r="9" spans="1:7" s="1" customFormat="1" ht="15.75" x14ac:dyDescent="0.25">
      <c r="A9" s="6" t="s">
        <v>3</v>
      </c>
      <c r="B9" s="6">
        <v>32</v>
      </c>
      <c r="C9" s="15">
        <v>3500</v>
      </c>
      <c r="D9" s="15">
        <f t="shared" si="1"/>
        <v>112000</v>
      </c>
      <c r="E9" s="6">
        <v>46</v>
      </c>
      <c r="F9" s="15">
        <v>3500</v>
      </c>
      <c r="G9" s="15">
        <f t="shared" si="0"/>
        <v>161000</v>
      </c>
    </row>
    <row r="10" spans="1:7" s="1" customFormat="1" ht="15.75" x14ac:dyDescent="0.25">
      <c r="A10" s="6" t="s">
        <v>12</v>
      </c>
      <c r="B10" s="6">
        <v>32</v>
      </c>
      <c r="C10" s="15">
        <v>1000</v>
      </c>
      <c r="D10" s="15">
        <f t="shared" si="1"/>
        <v>32000</v>
      </c>
      <c r="E10" s="6"/>
      <c r="F10" s="15"/>
      <c r="G10" s="15">
        <f t="shared" si="0"/>
        <v>0</v>
      </c>
    </row>
    <row r="11" spans="1:7" s="1" customFormat="1" ht="15.75" x14ac:dyDescent="0.25">
      <c r="A11" s="6" t="s">
        <v>2</v>
      </c>
      <c r="B11" s="6">
        <v>26.5</v>
      </c>
      <c r="C11" s="15">
        <v>3000</v>
      </c>
      <c r="D11" s="15">
        <f t="shared" si="1"/>
        <v>79500</v>
      </c>
      <c r="E11" s="6"/>
      <c r="F11" s="15"/>
      <c r="G11" s="15">
        <f t="shared" si="0"/>
        <v>0</v>
      </c>
    </row>
    <row r="12" spans="1:7" s="1" customFormat="1" ht="15.75" x14ac:dyDescent="0.25">
      <c r="A12" s="6" t="s">
        <v>10</v>
      </c>
      <c r="B12" s="6">
        <v>129.5</v>
      </c>
      <c r="C12" s="15">
        <v>2500</v>
      </c>
      <c r="D12" s="15">
        <f t="shared" si="1"/>
        <v>323750</v>
      </c>
      <c r="E12" s="6">
        <v>16.5</v>
      </c>
      <c r="F12" s="15">
        <v>2500</v>
      </c>
      <c r="G12" s="15">
        <f t="shared" si="0"/>
        <v>41250</v>
      </c>
    </row>
    <row r="13" spans="1:7" s="1" customFormat="1" ht="15.75" x14ac:dyDescent="0.25">
      <c r="A13" s="6" t="s">
        <v>11</v>
      </c>
      <c r="B13" s="6">
        <v>57</v>
      </c>
      <c r="C13" s="15">
        <v>3000</v>
      </c>
      <c r="D13" s="15">
        <f t="shared" si="1"/>
        <v>171000</v>
      </c>
      <c r="E13" s="6">
        <v>24</v>
      </c>
      <c r="F13" s="15">
        <v>3000</v>
      </c>
      <c r="G13" s="15">
        <f t="shared" si="0"/>
        <v>72000</v>
      </c>
    </row>
    <row r="14" spans="1:7" s="1" customFormat="1" ht="15.75" x14ac:dyDescent="0.25">
      <c r="A14" s="6" t="s">
        <v>8</v>
      </c>
      <c r="B14" s="6">
        <v>5</v>
      </c>
      <c r="C14" s="15">
        <v>4000</v>
      </c>
      <c r="D14" s="15">
        <f t="shared" si="1"/>
        <v>20000</v>
      </c>
      <c r="E14" s="6"/>
      <c r="F14" s="15"/>
      <c r="G14" s="15">
        <f t="shared" si="0"/>
        <v>0</v>
      </c>
    </row>
    <row r="15" spans="1:7" s="1" customFormat="1" ht="15.75" x14ac:dyDescent="0.25">
      <c r="A15" s="6" t="s">
        <v>6</v>
      </c>
      <c r="B15" s="6">
        <v>18</v>
      </c>
      <c r="C15" s="15">
        <v>4000</v>
      </c>
      <c r="D15" s="15">
        <f t="shared" si="1"/>
        <v>72000</v>
      </c>
      <c r="E15" s="6"/>
      <c r="F15" s="15"/>
      <c r="G15" s="15">
        <f t="shared" si="0"/>
        <v>0</v>
      </c>
    </row>
    <row r="16" spans="1:7" s="1" customFormat="1" ht="15.75" x14ac:dyDescent="0.25">
      <c r="A16" s="6" t="s">
        <v>4</v>
      </c>
      <c r="B16" s="6">
        <v>40.5</v>
      </c>
      <c r="C16" s="15">
        <v>1000</v>
      </c>
      <c r="D16" s="15">
        <f t="shared" si="1"/>
        <v>40500</v>
      </c>
      <c r="E16" s="6">
        <v>24</v>
      </c>
      <c r="F16" s="15">
        <v>1000</v>
      </c>
      <c r="G16" s="15">
        <f t="shared" si="0"/>
        <v>24000</v>
      </c>
    </row>
    <row r="17" spans="1:7" s="1" customFormat="1" ht="15.75" x14ac:dyDescent="0.25">
      <c r="A17" s="6" t="s">
        <v>1</v>
      </c>
      <c r="B17" s="6">
        <v>24</v>
      </c>
      <c r="C17" s="15">
        <v>2500</v>
      </c>
      <c r="D17" s="15">
        <f t="shared" si="1"/>
        <v>60000</v>
      </c>
      <c r="E17" s="6"/>
      <c r="F17" s="15"/>
      <c r="G17" s="15">
        <f t="shared" si="0"/>
        <v>0</v>
      </c>
    </row>
    <row r="18" spans="1:7" s="1" customFormat="1" ht="15.75" x14ac:dyDescent="0.25">
      <c r="A18" s="6" t="s">
        <v>14</v>
      </c>
      <c r="B18" s="6"/>
      <c r="C18" s="15">
        <v>4000</v>
      </c>
      <c r="D18" s="15">
        <f t="shared" si="1"/>
        <v>0</v>
      </c>
      <c r="E18" s="6">
        <v>13</v>
      </c>
      <c r="F18" s="15">
        <v>4000</v>
      </c>
      <c r="G18" s="15">
        <f>E18*F18</f>
        <v>52000</v>
      </c>
    </row>
    <row r="19" spans="1:7" s="1" customFormat="1" ht="15.75" x14ac:dyDescent="0.25">
      <c r="A19" s="6" t="s">
        <v>13</v>
      </c>
      <c r="B19" s="6">
        <v>8</v>
      </c>
      <c r="C19" s="15">
        <v>3500</v>
      </c>
      <c r="D19" s="15">
        <f t="shared" si="1"/>
        <v>28000</v>
      </c>
      <c r="E19" s="6">
        <v>8</v>
      </c>
      <c r="F19" s="15">
        <v>3500</v>
      </c>
      <c r="G19" s="15">
        <f>E19*F19</f>
        <v>28000</v>
      </c>
    </row>
    <row r="20" spans="1:7" s="1" customFormat="1" ht="15.75" x14ac:dyDescent="0.25">
      <c r="A20" s="6" t="s">
        <v>15</v>
      </c>
      <c r="B20" s="6">
        <v>24</v>
      </c>
      <c r="C20" s="15">
        <v>2000</v>
      </c>
      <c r="D20" s="15">
        <f t="shared" si="1"/>
        <v>48000</v>
      </c>
      <c r="E20" s="6">
        <v>7.5</v>
      </c>
      <c r="F20" s="15">
        <v>2000</v>
      </c>
      <c r="G20" s="15">
        <f>E20*F20</f>
        <v>15000</v>
      </c>
    </row>
    <row r="21" spans="1:7" s="1" customFormat="1" ht="15.75" x14ac:dyDescent="0.25">
      <c r="A21" s="6" t="s">
        <v>16</v>
      </c>
      <c r="B21" s="6"/>
      <c r="C21" s="15"/>
      <c r="D21" s="15">
        <f t="shared" si="1"/>
        <v>0</v>
      </c>
      <c r="E21" s="6"/>
      <c r="F21" s="15"/>
      <c r="G21" s="15">
        <f>E21*F21</f>
        <v>0</v>
      </c>
    </row>
    <row r="22" spans="1:7" s="1" customFormat="1" ht="15.75" x14ac:dyDescent="0.25">
      <c r="A22" s="12" t="s">
        <v>23</v>
      </c>
      <c r="B22" s="13">
        <f>SUM(B5:B21)</f>
        <v>872.5</v>
      </c>
      <c r="C22" s="16"/>
      <c r="D22" s="16">
        <f>SUM(D5:D21)</f>
        <v>2102750</v>
      </c>
      <c r="E22" s="13">
        <f>SUM(E5:E21)</f>
        <v>275</v>
      </c>
      <c r="F22" s="16"/>
      <c r="G22" s="16">
        <f>SUM(G5:G21)</f>
        <v>869250</v>
      </c>
    </row>
    <row r="23" spans="1:7" s="1" customFormat="1" ht="15.75" x14ac:dyDescent="0.25"/>
    <row r="24" spans="1:7" s="1" customFormat="1" ht="15.75" x14ac:dyDescent="0.25">
      <c r="B24" s="14" t="s">
        <v>24</v>
      </c>
    </row>
    <row r="25" spans="1:7" s="1" customFormat="1" ht="15.75" x14ac:dyDescent="0.25"/>
    <row r="26" spans="1:7" s="1" customFormat="1" ht="15.75" x14ac:dyDescent="0.25"/>
    <row r="27" spans="1:7" s="1" customFormat="1" ht="15.75" x14ac:dyDescent="0.25">
      <c r="A27" s="9" t="s">
        <v>22</v>
      </c>
      <c r="B27" s="10" t="s">
        <v>17</v>
      </c>
      <c r="C27" s="2"/>
      <c r="D27" s="3"/>
      <c r="E27" s="10" t="s">
        <v>21</v>
      </c>
      <c r="F27" s="2"/>
      <c r="G27" s="3"/>
    </row>
    <row r="28" spans="1:7" s="1" customFormat="1" ht="15.75" x14ac:dyDescent="0.25">
      <c r="A28" s="8"/>
      <c r="B28" s="4" t="s">
        <v>18</v>
      </c>
      <c r="C28" s="8" t="s">
        <v>19</v>
      </c>
      <c r="D28" s="11" t="s">
        <v>20</v>
      </c>
      <c r="E28" s="8" t="s">
        <v>18</v>
      </c>
      <c r="F28" s="8" t="s">
        <v>19</v>
      </c>
      <c r="G28" s="11" t="s">
        <v>20</v>
      </c>
    </row>
    <row r="29" spans="1:7" s="1" customFormat="1" ht="15.75" x14ac:dyDescent="0.25">
      <c r="A29" s="5">
        <v>110</v>
      </c>
      <c r="B29" s="6">
        <v>80</v>
      </c>
      <c r="C29" s="15">
        <v>3500</v>
      </c>
      <c r="D29" s="15">
        <f>B29*C29</f>
        <v>280000</v>
      </c>
      <c r="E29" s="7">
        <v>56</v>
      </c>
      <c r="F29" s="15">
        <v>3500</v>
      </c>
      <c r="G29" s="15">
        <f t="shared" ref="G29:G41" si="2">E29*F29</f>
        <v>196000</v>
      </c>
    </row>
    <row r="30" spans="1:7" s="1" customFormat="1" ht="15.75" x14ac:dyDescent="0.25">
      <c r="A30" s="6" t="s">
        <v>7</v>
      </c>
      <c r="B30" s="6">
        <v>230</v>
      </c>
      <c r="C30" s="15">
        <v>1000</v>
      </c>
      <c r="D30" s="15">
        <f t="shared" ref="D30:D45" si="3">B30*C30</f>
        <v>230000</v>
      </c>
      <c r="E30" s="6"/>
      <c r="F30" s="15">
        <v>1000</v>
      </c>
      <c r="G30" s="15">
        <f t="shared" si="2"/>
        <v>0</v>
      </c>
    </row>
    <row r="31" spans="1:7" s="1" customFormat="1" ht="15.75" x14ac:dyDescent="0.25">
      <c r="A31" s="6" t="s">
        <v>9</v>
      </c>
      <c r="B31" s="6">
        <v>120</v>
      </c>
      <c r="C31" s="15">
        <v>3500</v>
      </c>
      <c r="D31" s="15">
        <f t="shared" si="3"/>
        <v>420000</v>
      </c>
      <c r="E31" s="6"/>
      <c r="F31" s="15">
        <v>3500</v>
      </c>
      <c r="G31" s="15">
        <f t="shared" si="2"/>
        <v>0</v>
      </c>
    </row>
    <row r="32" spans="1:7" s="1" customFormat="1" ht="15.75" x14ac:dyDescent="0.25">
      <c r="A32" s="6" t="s">
        <v>5</v>
      </c>
      <c r="B32" s="6">
        <v>72</v>
      </c>
      <c r="C32" s="15">
        <v>3500</v>
      </c>
      <c r="D32" s="15">
        <f t="shared" si="3"/>
        <v>252000</v>
      </c>
      <c r="E32" s="6">
        <v>16</v>
      </c>
      <c r="F32" s="15">
        <v>3500</v>
      </c>
      <c r="G32" s="15">
        <f t="shared" si="2"/>
        <v>56000</v>
      </c>
    </row>
    <row r="33" spans="1:7" s="1" customFormat="1" ht="15.75" x14ac:dyDescent="0.25">
      <c r="A33" s="6" t="s">
        <v>3</v>
      </c>
      <c r="B33" s="6">
        <v>94</v>
      </c>
      <c r="C33" s="15">
        <v>3500</v>
      </c>
      <c r="D33" s="15">
        <f t="shared" si="3"/>
        <v>329000</v>
      </c>
      <c r="E33" s="6">
        <v>25</v>
      </c>
      <c r="F33" s="15">
        <v>3500</v>
      </c>
      <c r="G33" s="15">
        <f t="shared" si="2"/>
        <v>87500</v>
      </c>
    </row>
    <row r="34" spans="1:7" s="1" customFormat="1" ht="15.75" x14ac:dyDescent="0.25">
      <c r="A34" s="6" t="s">
        <v>12</v>
      </c>
      <c r="B34" s="6">
        <v>110.5</v>
      </c>
      <c r="C34" s="15">
        <v>1000</v>
      </c>
      <c r="D34" s="15">
        <f t="shared" si="3"/>
        <v>110500</v>
      </c>
      <c r="E34" s="6"/>
      <c r="F34" s="15">
        <v>1000</v>
      </c>
      <c r="G34" s="15">
        <f t="shared" si="2"/>
        <v>0</v>
      </c>
    </row>
    <row r="35" spans="1:7" s="1" customFormat="1" ht="15.75" x14ac:dyDescent="0.25">
      <c r="A35" s="6" t="s">
        <v>2</v>
      </c>
      <c r="B35" s="6"/>
      <c r="C35" s="15">
        <v>3000</v>
      </c>
      <c r="D35" s="15">
        <f t="shared" si="3"/>
        <v>0</v>
      </c>
      <c r="E35" s="6"/>
      <c r="F35" s="15">
        <v>3000</v>
      </c>
      <c r="G35" s="15">
        <f t="shared" si="2"/>
        <v>0</v>
      </c>
    </row>
    <row r="36" spans="1:7" s="1" customFormat="1" ht="15.75" x14ac:dyDescent="0.25">
      <c r="A36" s="6" t="s">
        <v>10</v>
      </c>
      <c r="B36" s="6">
        <v>111.5</v>
      </c>
      <c r="C36" s="15">
        <v>2500</v>
      </c>
      <c r="D36" s="15">
        <f t="shared" si="3"/>
        <v>278750</v>
      </c>
      <c r="E36" s="6">
        <v>28</v>
      </c>
      <c r="F36" s="15">
        <v>2500</v>
      </c>
      <c r="G36" s="15">
        <f t="shared" si="2"/>
        <v>70000</v>
      </c>
    </row>
    <row r="37" spans="1:7" s="1" customFormat="1" ht="15.75" x14ac:dyDescent="0.25">
      <c r="A37" s="6" t="s">
        <v>11</v>
      </c>
      <c r="B37" s="6">
        <v>21</v>
      </c>
      <c r="C37" s="15">
        <v>3000</v>
      </c>
      <c r="D37" s="15">
        <f t="shared" si="3"/>
        <v>63000</v>
      </c>
      <c r="E37" s="6"/>
      <c r="F37" s="15">
        <v>3000</v>
      </c>
      <c r="G37" s="15">
        <f t="shared" si="2"/>
        <v>0</v>
      </c>
    </row>
    <row r="38" spans="1:7" s="1" customFormat="1" ht="15.75" x14ac:dyDescent="0.25">
      <c r="A38" s="6" t="s">
        <v>8</v>
      </c>
      <c r="B38" s="6"/>
      <c r="C38" s="15">
        <v>4000</v>
      </c>
      <c r="D38" s="15">
        <f t="shared" si="3"/>
        <v>0</v>
      </c>
      <c r="E38" s="6"/>
      <c r="F38" s="15">
        <v>4000</v>
      </c>
      <c r="G38" s="15">
        <f t="shared" si="2"/>
        <v>0</v>
      </c>
    </row>
    <row r="39" spans="1:7" s="1" customFormat="1" ht="15.75" x14ac:dyDescent="0.25">
      <c r="A39" s="6" t="s">
        <v>6</v>
      </c>
      <c r="B39" s="6">
        <v>16</v>
      </c>
      <c r="C39" s="15">
        <v>4000</v>
      </c>
      <c r="D39" s="15">
        <f t="shared" si="3"/>
        <v>64000</v>
      </c>
      <c r="E39" s="6">
        <v>10</v>
      </c>
      <c r="F39" s="15">
        <v>4000</v>
      </c>
      <c r="G39" s="15">
        <f t="shared" si="2"/>
        <v>40000</v>
      </c>
    </row>
    <row r="40" spans="1:7" s="1" customFormat="1" ht="15.75" x14ac:dyDescent="0.25">
      <c r="A40" s="6" t="s">
        <v>4</v>
      </c>
      <c r="B40" s="6">
        <v>88</v>
      </c>
      <c r="C40" s="15">
        <v>1000</v>
      </c>
      <c r="D40" s="15">
        <f t="shared" si="3"/>
        <v>88000</v>
      </c>
      <c r="E40" s="6">
        <v>82</v>
      </c>
      <c r="F40" s="15">
        <v>1000</v>
      </c>
      <c r="G40" s="15">
        <f t="shared" si="2"/>
        <v>82000</v>
      </c>
    </row>
    <row r="41" spans="1:7" s="1" customFormat="1" ht="15.75" x14ac:dyDescent="0.25">
      <c r="A41" s="6" t="s">
        <v>1</v>
      </c>
      <c r="B41" s="6"/>
      <c r="C41" s="15">
        <v>2500</v>
      </c>
      <c r="D41" s="15">
        <f t="shared" si="3"/>
        <v>0</v>
      </c>
      <c r="E41" s="6"/>
      <c r="F41" s="15">
        <v>2500</v>
      </c>
      <c r="G41" s="15">
        <f t="shared" si="2"/>
        <v>0</v>
      </c>
    </row>
    <row r="42" spans="1:7" s="1" customFormat="1" ht="15.75" x14ac:dyDescent="0.25">
      <c r="A42" s="6" t="s">
        <v>14</v>
      </c>
      <c r="B42" s="6">
        <v>6.5</v>
      </c>
      <c r="C42" s="15">
        <v>4000</v>
      </c>
      <c r="D42" s="15">
        <f t="shared" si="3"/>
        <v>26000</v>
      </c>
      <c r="E42" s="6"/>
      <c r="F42" s="15">
        <v>4000</v>
      </c>
      <c r="G42" s="15">
        <f>E42*F42</f>
        <v>0</v>
      </c>
    </row>
    <row r="43" spans="1:7" s="1" customFormat="1" ht="15.75" x14ac:dyDescent="0.25">
      <c r="A43" s="6" t="s">
        <v>13</v>
      </c>
      <c r="B43" s="6"/>
      <c r="C43" s="15">
        <v>3500</v>
      </c>
      <c r="D43" s="15">
        <f t="shared" si="3"/>
        <v>0</v>
      </c>
      <c r="E43" s="6"/>
      <c r="F43" s="15">
        <v>3500</v>
      </c>
      <c r="G43" s="15">
        <f>E43*F43</f>
        <v>0</v>
      </c>
    </row>
    <row r="44" spans="1:7" s="1" customFormat="1" ht="15.75" x14ac:dyDescent="0.25">
      <c r="A44" s="6" t="s">
        <v>15</v>
      </c>
      <c r="B44" s="6">
        <v>15</v>
      </c>
      <c r="C44" s="15">
        <v>2000</v>
      </c>
      <c r="D44" s="15">
        <f t="shared" si="3"/>
        <v>30000</v>
      </c>
      <c r="E44" s="6"/>
      <c r="F44" s="15">
        <v>2000</v>
      </c>
      <c r="G44" s="15">
        <f>E44*F44</f>
        <v>0</v>
      </c>
    </row>
    <row r="45" spans="1:7" s="1" customFormat="1" ht="15.75" x14ac:dyDescent="0.25">
      <c r="A45" s="6" t="s">
        <v>16</v>
      </c>
      <c r="B45" s="6"/>
      <c r="C45" s="15"/>
      <c r="D45" s="15">
        <f t="shared" si="3"/>
        <v>0</v>
      </c>
      <c r="E45" s="6"/>
      <c r="F45" s="15"/>
      <c r="G45" s="15">
        <f>E45*F45</f>
        <v>0</v>
      </c>
    </row>
    <row r="46" spans="1:7" s="1" customFormat="1" ht="15.75" x14ac:dyDescent="0.25">
      <c r="A46" s="12" t="s">
        <v>23</v>
      </c>
      <c r="B46" s="13">
        <f>SUM(B29:B45)</f>
        <v>964.5</v>
      </c>
      <c r="C46" s="16"/>
      <c r="D46" s="16">
        <f>SUM(D29:D45)</f>
        <v>2171250</v>
      </c>
      <c r="E46" s="13">
        <f>SUM(E29:E45)</f>
        <v>217</v>
      </c>
      <c r="F46" s="16"/>
      <c r="G46" s="16">
        <f>SUM(G29:G45)</f>
        <v>531500</v>
      </c>
    </row>
    <row r="47" spans="1:7" s="1" customFormat="1" ht="15.75" x14ac:dyDescent="0.25"/>
    <row r="48" spans="1:7" s="1" customFormat="1" ht="15.75" x14ac:dyDescent="0.25"/>
    <row r="49" spans="1:8" s="1" customFormat="1" ht="15.75" x14ac:dyDescent="0.25">
      <c r="B49" s="14" t="s">
        <v>26</v>
      </c>
      <c r="D49" s="14" t="s">
        <v>27</v>
      </c>
    </row>
    <row r="50" spans="1:8" s="1" customFormat="1" ht="15.75" x14ac:dyDescent="0.25"/>
    <row r="51" spans="1:8" s="1" customFormat="1" ht="15.75" x14ac:dyDescent="0.25"/>
    <row r="52" spans="1:8" s="1" customFormat="1" ht="15.75" x14ac:dyDescent="0.25">
      <c r="A52" s="9" t="s">
        <v>22</v>
      </c>
      <c r="B52" s="10" t="s">
        <v>17</v>
      </c>
      <c r="C52" s="2"/>
      <c r="D52" s="3"/>
      <c r="E52" s="10" t="s">
        <v>21</v>
      </c>
      <c r="F52" s="2"/>
      <c r="G52" s="3"/>
      <c r="H52" s="18"/>
    </row>
    <row r="53" spans="1:8" s="1" customFormat="1" ht="15.75" x14ac:dyDescent="0.25">
      <c r="A53" s="8"/>
      <c r="B53" s="4" t="s">
        <v>18</v>
      </c>
      <c r="C53" s="8" t="s">
        <v>19</v>
      </c>
      <c r="D53" s="11" t="s">
        <v>20</v>
      </c>
      <c r="E53" s="8" t="s">
        <v>18</v>
      </c>
      <c r="F53" s="8" t="s">
        <v>19</v>
      </c>
      <c r="G53" s="11" t="s">
        <v>20</v>
      </c>
      <c r="H53" s="18"/>
    </row>
    <row r="54" spans="1:8" s="1" customFormat="1" ht="15.75" x14ac:dyDescent="0.25">
      <c r="A54" s="5">
        <v>110</v>
      </c>
      <c r="B54" s="6"/>
      <c r="C54" s="15">
        <v>3500</v>
      </c>
      <c r="D54" s="15">
        <f>B54*C54</f>
        <v>0</v>
      </c>
      <c r="F54" s="15">
        <v>3500</v>
      </c>
      <c r="G54" s="15" t="e">
        <f>#REF!*F54</f>
        <v>#REF!</v>
      </c>
      <c r="H54" s="18"/>
    </row>
    <row r="55" spans="1:8" s="1" customFormat="1" ht="15.75" x14ac:dyDescent="0.25">
      <c r="A55" s="6" t="s">
        <v>7</v>
      </c>
      <c r="B55" s="6">
        <v>143</v>
      </c>
      <c r="C55" s="15">
        <v>1000</v>
      </c>
      <c r="D55" s="15">
        <f t="shared" ref="D55:D64" si="4">B55*C55</f>
        <v>143000</v>
      </c>
      <c r="E55" s="6"/>
      <c r="F55" s="15">
        <v>1000</v>
      </c>
      <c r="G55" s="15">
        <f t="shared" ref="G55:G64" si="5">E55*F55</f>
        <v>0</v>
      </c>
      <c r="H55" s="18"/>
    </row>
    <row r="56" spans="1:8" s="1" customFormat="1" ht="15.75" x14ac:dyDescent="0.25">
      <c r="A56" s="6" t="s">
        <v>9</v>
      </c>
      <c r="B56" s="6">
        <v>145</v>
      </c>
      <c r="C56" s="15">
        <v>3500</v>
      </c>
      <c r="D56" s="15">
        <f t="shared" si="4"/>
        <v>507500</v>
      </c>
      <c r="E56" s="6"/>
      <c r="F56" s="15">
        <v>3500</v>
      </c>
      <c r="G56" s="15">
        <f t="shared" si="5"/>
        <v>0</v>
      </c>
      <c r="H56" s="18"/>
    </row>
    <row r="57" spans="1:8" s="1" customFormat="1" ht="15.75" x14ac:dyDescent="0.25">
      <c r="A57" s="6" t="s">
        <v>12</v>
      </c>
      <c r="B57" s="6"/>
      <c r="C57" s="15">
        <v>1000</v>
      </c>
      <c r="D57" s="15">
        <f t="shared" si="4"/>
        <v>0</v>
      </c>
      <c r="E57" s="6"/>
      <c r="F57" s="15">
        <v>1000</v>
      </c>
      <c r="G57" s="15">
        <f t="shared" si="5"/>
        <v>0</v>
      </c>
      <c r="H57" s="18"/>
    </row>
    <row r="58" spans="1:8" s="1" customFormat="1" ht="15.75" x14ac:dyDescent="0.25">
      <c r="A58" s="6" t="s">
        <v>2</v>
      </c>
      <c r="B58" s="6"/>
      <c r="C58" s="15">
        <v>3000</v>
      </c>
      <c r="D58" s="15">
        <f t="shared" si="4"/>
        <v>0</v>
      </c>
      <c r="E58" s="6"/>
      <c r="F58" s="15">
        <v>3000</v>
      </c>
      <c r="G58" s="15">
        <f t="shared" si="5"/>
        <v>0</v>
      </c>
      <c r="H58" s="18"/>
    </row>
    <row r="59" spans="1:8" s="1" customFormat="1" ht="15.75" x14ac:dyDescent="0.25">
      <c r="A59" s="6" t="s">
        <v>11</v>
      </c>
      <c r="B59" s="6">
        <v>41</v>
      </c>
      <c r="C59" s="15">
        <v>3000</v>
      </c>
      <c r="D59" s="15">
        <f t="shared" si="4"/>
        <v>123000</v>
      </c>
      <c r="E59" s="6"/>
      <c r="F59" s="15">
        <v>3000</v>
      </c>
      <c r="G59" s="15">
        <f t="shared" si="5"/>
        <v>0</v>
      </c>
      <c r="H59" s="18"/>
    </row>
    <row r="60" spans="1:8" s="1" customFormat="1" ht="15.75" x14ac:dyDescent="0.25">
      <c r="A60" s="6" t="s">
        <v>8</v>
      </c>
      <c r="B60" s="6"/>
      <c r="C60" s="15">
        <v>4000</v>
      </c>
      <c r="D60" s="15">
        <f t="shared" si="4"/>
        <v>0</v>
      </c>
      <c r="E60" s="6"/>
      <c r="F60" s="15">
        <v>4000</v>
      </c>
      <c r="G60" s="15">
        <f t="shared" si="5"/>
        <v>0</v>
      </c>
      <c r="H60" s="18"/>
    </row>
    <row r="61" spans="1:8" s="1" customFormat="1" ht="15.75" x14ac:dyDescent="0.25">
      <c r="A61" s="6" t="s">
        <v>6</v>
      </c>
      <c r="B61" s="6"/>
      <c r="C61" s="15">
        <v>4000</v>
      </c>
      <c r="D61" s="15">
        <f t="shared" si="4"/>
        <v>0</v>
      </c>
      <c r="E61" s="6"/>
      <c r="F61" s="15">
        <v>4000</v>
      </c>
      <c r="G61" s="15">
        <f t="shared" si="5"/>
        <v>0</v>
      </c>
      <c r="H61" s="18"/>
    </row>
    <row r="62" spans="1:8" s="1" customFormat="1" ht="15.75" x14ac:dyDescent="0.25">
      <c r="A62" s="6" t="s">
        <v>4</v>
      </c>
      <c r="B62" s="6">
        <v>57.5</v>
      </c>
      <c r="C62" s="15">
        <v>1000</v>
      </c>
      <c r="D62" s="15">
        <f t="shared" si="4"/>
        <v>57500</v>
      </c>
      <c r="E62" s="6">
        <v>24.5</v>
      </c>
      <c r="F62" s="15">
        <v>1000</v>
      </c>
      <c r="G62" s="15">
        <f t="shared" si="5"/>
        <v>24500</v>
      </c>
      <c r="H62" s="18"/>
    </row>
    <row r="63" spans="1:8" s="1" customFormat="1" ht="15.75" x14ac:dyDescent="0.25">
      <c r="A63" s="6" t="s">
        <v>1</v>
      </c>
      <c r="B63" s="6"/>
      <c r="C63" s="15">
        <v>2500</v>
      </c>
      <c r="D63" s="15">
        <f t="shared" si="4"/>
        <v>0</v>
      </c>
      <c r="E63" s="6"/>
      <c r="F63" s="15">
        <v>2500</v>
      </c>
      <c r="G63" s="15">
        <f t="shared" si="5"/>
        <v>0</v>
      </c>
      <c r="H63" s="18"/>
    </row>
    <row r="64" spans="1:8" s="1" customFormat="1" ht="15.75" x14ac:dyDescent="0.25">
      <c r="A64" s="5">
        <v>887</v>
      </c>
      <c r="B64" s="6">
        <v>56</v>
      </c>
      <c r="C64" s="15">
        <v>3000</v>
      </c>
      <c r="D64" s="15">
        <f t="shared" si="4"/>
        <v>168000</v>
      </c>
      <c r="E64" s="6"/>
      <c r="F64" s="15">
        <v>3000</v>
      </c>
      <c r="G64" s="15">
        <f t="shared" si="5"/>
        <v>0</v>
      </c>
      <c r="H64" s="18"/>
    </row>
    <row r="65" spans="1:8" s="1" customFormat="1" ht="15.75" x14ac:dyDescent="0.25">
      <c r="A65" s="12" t="s">
        <v>23</v>
      </c>
      <c r="B65" s="13">
        <f>SUM(B54:B64)</f>
        <v>442.5</v>
      </c>
      <c r="C65" s="16"/>
      <c r="D65" s="16">
        <f>SUM(D54:D64)</f>
        <v>999000</v>
      </c>
      <c r="E65" s="13">
        <f>SUM(E55:E64)</f>
        <v>24.5</v>
      </c>
      <c r="F65" s="16"/>
      <c r="G65" s="16" t="e">
        <f>SUM(G54:G64)</f>
        <v>#REF!</v>
      </c>
      <c r="H65" s="18"/>
    </row>
    <row r="66" spans="1:8" s="1" customFormat="1" ht="15.75" x14ac:dyDescent="0.25">
      <c r="H66" s="18"/>
    </row>
    <row r="67" spans="1:8" s="1" customFormat="1" ht="15.75" x14ac:dyDescent="0.25">
      <c r="H67" s="18"/>
    </row>
    <row r="68" spans="1:8" s="1" customFormat="1" ht="15.75" x14ac:dyDescent="0.25">
      <c r="H68" s="18"/>
    </row>
    <row r="69" spans="1:8" s="1" customFormat="1" ht="15.75" x14ac:dyDescent="0.25"/>
    <row r="70" spans="1:8" s="1" customFormat="1" ht="15.75" x14ac:dyDescent="0.25">
      <c r="B70" s="14" t="s">
        <v>26</v>
      </c>
      <c r="D70" s="14" t="s">
        <v>25</v>
      </c>
    </row>
    <row r="71" spans="1:8" s="1" customFormat="1" ht="15.75" x14ac:dyDescent="0.25"/>
    <row r="72" spans="1:8" s="1" customFormat="1" ht="15.75" x14ac:dyDescent="0.25"/>
    <row r="73" spans="1:8" s="1" customFormat="1" ht="15.75" x14ac:dyDescent="0.25">
      <c r="A73" s="9" t="s">
        <v>22</v>
      </c>
      <c r="B73" s="10" t="s">
        <v>17</v>
      </c>
      <c r="C73" s="2"/>
      <c r="D73" s="3"/>
      <c r="E73" s="10" t="s">
        <v>21</v>
      </c>
      <c r="F73" s="2"/>
      <c r="G73" s="3"/>
    </row>
    <row r="74" spans="1:8" s="1" customFormat="1" ht="15.75" x14ac:dyDescent="0.25">
      <c r="A74" s="8"/>
      <c r="B74" s="4" t="s">
        <v>18</v>
      </c>
      <c r="C74" s="8" t="s">
        <v>19</v>
      </c>
      <c r="D74" s="11" t="s">
        <v>20</v>
      </c>
      <c r="E74" s="8" t="s">
        <v>18</v>
      </c>
      <c r="F74" s="8" t="s">
        <v>19</v>
      </c>
      <c r="G74" s="11" t="s">
        <v>20</v>
      </c>
    </row>
    <row r="75" spans="1:8" s="1" customFormat="1" ht="15.75" x14ac:dyDescent="0.25">
      <c r="A75" s="6" t="s">
        <v>5</v>
      </c>
      <c r="B75" s="6">
        <v>100</v>
      </c>
      <c r="C75" s="15">
        <v>3500</v>
      </c>
      <c r="D75" s="15">
        <f t="shared" ref="D75:D81" si="6">B75*C75</f>
        <v>350000</v>
      </c>
      <c r="E75" s="6">
        <v>4</v>
      </c>
      <c r="F75" s="15">
        <v>3500</v>
      </c>
      <c r="G75" s="15">
        <f t="shared" ref="G75:G81" si="7">E75*F75</f>
        <v>14000</v>
      </c>
    </row>
    <row r="76" spans="1:8" s="1" customFormat="1" ht="15.75" x14ac:dyDescent="0.25">
      <c r="A76" s="6" t="s">
        <v>3</v>
      </c>
      <c r="B76" s="6">
        <v>43</v>
      </c>
      <c r="C76" s="15">
        <v>3500</v>
      </c>
      <c r="D76" s="15">
        <f t="shared" si="6"/>
        <v>150500</v>
      </c>
      <c r="E76" s="6">
        <v>18</v>
      </c>
      <c r="F76" s="15">
        <v>3500</v>
      </c>
      <c r="G76" s="15">
        <f t="shared" si="7"/>
        <v>63000</v>
      </c>
    </row>
    <row r="77" spans="1:8" s="1" customFormat="1" ht="15.75" x14ac:dyDescent="0.25">
      <c r="A77" s="6" t="s">
        <v>10</v>
      </c>
      <c r="B77" s="6">
        <v>112</v>
      </c>
      <c r="C77" s="15">
        <v>2500</v>
      </c>
      <c r="D77" s="15">
        <f t="shared" si="6"/>
        <v>280000</v>
      </c>
      <c r="E77" s="6">
        <v>8</v>
      </c>
      <c r="F77" s="15">
        <v>2500</v>
      </c>
      <c r="G77" s="15">
        <f t="shared" si="7"/>
        <v>20000</v>
      </c>
    </row>
    <row r="78" spans="1:8" s="1" customFormat="1" ht="15.75" x14ac:dyDescent="0.25">
      <c r="A78" s="6" t="s">
        <v>14</v>
      </c>
      <c r="B78" s="6"/>
      <c r="C78" s="15">
        <v>4000</v>
      </c>
      <c r="D78" s="15">
        <f t="shared" si="6"/>
        <v>0</v>
      </c>
      <c r="E78" s="6"/>
      <c r="F78" s="15">
        <v>4000</v>
      </c>
      <c r="G78" s="15">
        <f t="shared" si="7"/>
        <v>0</v>
      </c>
    </row>
    <row r="79" spans="1:8" s="1" customFormat="1" ht="15.75" x14ac:dyDescent="0.25">
      <c r="A79" s="6" t="s">
        <v>13</v>
      </c>
      <c r="B79" s="6">
        <v>16</v>
      </c>
      <c r="C79" s="15">
        <v>3500</v>
      </c>
      <c r="D79" s="15">
        <f t="shared" si="6"/>
        <v>56000</v>
      </c>
      <c r="E79" s="7">
        <v>2.7</v>
      </c>
      <c r="F79" s="15">
        <v>3500</v>
      </c>
      <c r="G79" s="15">
        <f t="shared" si="7"/>
        <v>9450</v>
      </c>
    </row>
    <row r="80" spans="1:8" s="1" customFormat="1" ht="15.75" x14ac:dyDescent="0.25">
      <c r="A80" s="6" t="s">
        <v>15</v>
      </c>
      <c r="B80" s="6">
        <v>30</v>
      </c>
      <c r="C80" s="15">
        <v>2000</v>
      </c>
      <c r="D80" s="15">
        <f t="shared" si="6"/>
        <v>60000</v>
      </c>
      <c r="E80" s="6"/>
      <c r="F80" s="15">
        <v>2000</v>
      </c>
      <c r="G80" s="15">
        <f t="shared" si="7"/>
        <v>0</v>
      </c>
    </row>
    <row r="81" spans="1:7" s="1" customFormat="1" ht="15.75" x14ac:dyDescent="0.25">
      <c r="A81" s="6" t="s">
        <v>16</v>
      </c>
      <c r="B81" s="6"/>
      <c r="C81" s="15"/>
      <c r="D81" s="15">
        <f t="shared" si="6"/>
        <v>0</v>
      </c>
      <c r="E81" s="6"/>
      <c r="F81" s="15"/>
      <c r="G81" s="15">
        <f t="shared" si="7"/>
        <v>0</v>
      </c>
    </row>
    <row r="82" spans="1:7" s="1" customFormat="1" ht="15.75" x14ac:dyDescent="0.25">
      <c r="A82" s="12" t="s">
        <v>23</v>
      </c>
      <c r="B82" s="13">
        <f>SUM(B75:B81)</f>
        <v>301</v>
      </c>
      <c r="C82" s="16"/>
      <c r="D82" s="16">
        <f>SUM(D75:D81)</f>
        <v>896500</v>
      </c>
      <c r="E82" s="13">
        <f>SUM(E75:E81)</f>
        <v>32.700000000000003</v>
      </c>
      <c r="F82" s="16"/>
      <c r="G82" s="16">
        <f>SUM(G75:G81)</f>
        <v>106450</v>
      </c>
    </row>
    <row r="83" spans="1:7" s="1" customFormat="1" ht="15.75" x14ac:dyDescent="0.25"/>
    <row r="84" spans="1:7" s="1" customFormat="1" ht="15.75" x14ac:dyDescent="0.25"/>
    <row r="85" spans="1:7" s="1" customFormat="1" ht="15.75" x14ac:dyDescent="0.25"/>
    <row r="86" spans="1:7" s="1" customFormat="1" ht="15.75" x14ac:dyDescent="0.25"/>
    <row r="87" spans="1:7" s="1" customFormat="1" ht="15.75" x14ac:dyDescent="0.25"/>
    <row r="88" spans="1:7" s="1" customFormat="1" ht="15.75" x14ac:dyDescent="0.25"/>
    <row r="89" spans="1:7" s="1" customFormat="1" ht="15.75" x14ac:dyDescent="0.25"/>
    <row r="90" spans="1:7" s="1" customFormat="1" ht="15.75" x14ac:dyDescent="0.25"/>
    <row r="91" spans="1:7" s="1" customFormat="1" ht="15.75" x14ac:dyDescent="0.25"/>
    <row r="92" spans="1:7" s="1" customFormat="1" ht="15.75" x14ac:dyDescent="0.25"/>
    <row r="93" spans="1:7" s="1" customFormat="1" ht="15.75" x14ac:dyDescent="0.25"/>
    <row r="94" spans="1:7" s="1" customFormat="1" ht="15.75" x14ac:dyDescent="0.25"/>
    <row r="95" spans="1:7" s="1" customFormat="1" ht="15.75" x14ac:dyDescent="0.25"/>
  </sheetData>
  <sortState ref="A7:B26">
    <sortCondition ref="A7"/>
  </sortState>
  <pageMargins left="0.7" right="0.7" top="0.75" bottom="0.75" header="0.3" footer="0.3"/>
  <pageSetup paperSize="9"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09"/>
  <sheetViews>
    <sheetView workbookViewId="0">
      <selection activeCell="B37" sqref="B37"/>
    </sheetView>
  </sheetViews>
  <sheetFormatPr defaultRowHeight="15" x14ac:dyDescent="0.25"/>
  <cols>
    <col min="1" max="1" width="31" customWidth="1"/>
    <col min="2" max="2" width="13" customWidth="1"/>
    <col min="3" max="3" width="11.28515625" customWidth="1"/>
    <col min="4" max="4" width="16.5703125" customWidth="1"/>
    <col min="7" max="7" width="20" customWidth="1"/>
    <col min="8" max="8" width="10.28515625" customWidth="1"/>
    <col min="11" max="11" width="14.42578125" customWidth="1"/>
    <col min="14" max="14" width="16.28515625" customWidth="1"/>
    <col min="15" max="15" width="12.85546875" customWidth="1"/>
    <col min="16" max="16" width="12.7109375" customWidth="1"/>
    <col min="17" max="17" width="15" customWidth="1"/>
    <col min="20" max="20" width="14" customWidth="1"/>
    <col min="24" max="24" width="10.28515625" customWidth="1"/>
  </cols>
  <sheetData>
    <row r="1" spans="1:9" ht="15.75" x14ac:dyDescent="0.25">
      <c r="A1" s="1"/>
      <c r="B1" s="14" t="s">
        <v>0</v>
      </c>
      <c r="C1" s="1"/>
      <c r="D1" s="1"/>
      <c r="E1" s="1"/>
      <c r="F1" s="1"/>
      <c r="G1" s="1"/>
      <c r="H1" s="1"/>
      <c r="I1" s="1"/>
    </row>
    <row r="2" spans="1:9" ht="15.75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5.75" x14ac:dyDescent="0.25">
      <c r="A3" s="9" t="s">
        <v>22</v>
      </c>
      <c r="B3" s="10" t="s">
        <v>17</v>
      </c>
      <c r="C3" s="2"/>
      <c r="D3" s="3"/>
      <c r="E3" s="10" t="s">
        <v>21</v>
      </c>
      <c r="F3" s="2"/>
      <c r="G3" s="3"/>
      <c r="H3" s="18"/>
      <c r="I3" s="1"/>
    </row>
    <row r="4" spans="1:9" ht="15.75" x14ac:dyDescent="0.25">
      <c r="A4" s="8"/>
      <c r="B4" s="4" t="s">
        <v>18</v>
      </c>
      <c r="C4" s="8" t="s">
        <v>19</v>
      </c>
      <c r="D4" s="11" t="s">
        <v>20</v>
      </c>
      <c r="E4" s="8" t="s">
        <v>18</v>
      </c>
      <c r="F4" s="8" t="s">
        <v>19</v>
      </c>
      <c r="G4" s="11" t="s">
        <v>20</v>
      </c>
      <c r="H4" s="17"/>
      <c r="I4" s="1"/>
    </row>
    <row r="5" spans="1:9" ht="15.75" x14ac:dyDescent="0.25">
      <c r="A5" s="5">
        <v>110</v>
      </c>
      <c r="B5" s="6">
        <v>80</v>
      </c>
      <c r="C5" s="15">
        <v>3500</v>
      </c>
      <c r="D5" s="15">
        <f>B5*C5</f>
        <v>280000</v>
      </c>
      <c r="E5" s="7">
        <v>40</v>
      </c>
      <c r="F5" s="15">
        <v>3500</v>
      </c>
      <c r="G5" s="15">
        <f t="shared" ref="G5:G17" si="0">E5*F5</f>
        <v>140000</v>
      </c>
      <c r="H5" s="19"/>
      <c r="I5" s="1"/>
    </row>
    <row r="6" spans="1:9" ht="15.75" x14ac:dyDescent="0.25">
      <c r="A6" s="6" t="s">
        <v>7</v>
      </c>
      <c r="B6" s="6">
        <v>220</v>
      </c>
      <c r="C6" s="15">
        <v>1000</v>
      </c>
      <c r="D6" s="15">
        <f t="shared" ref="D6:D21" si="1">B6*C6</f>
        <v>220000</v>
      </c>
      <c r="E6" s="6"/>
      <c r="F6" s="15"/>
      <c r="G6" s="15">
        <f t="shared" si="0"/>
        <v>0</v>
      </c>
      <c r="H6" s="19"/>
      <c r="I6" s="1"/>
    </row>
    <row r="7" spans="1:9" ht="15.75" x14ac:dyDescent="0.25">
      <c r="A7" s="6" t="s">
        <v>9</v>
      </c>
      <c r="B7" s="6">
        <v>136</v>
      </c>
      <c r="C7" s="15">
        <v>3500</v>
      </c>
      <c r="D7" s="15">
        <f t="shared" si="1"/>
        <v>476000</v>
      </c>
      <c r="E7" s="6"/>
      <c r="F7" s="15"/>
      <c r="G7" s="15">
        <f t="shared" si="0"/>
        <v>0</v>
      </c>
      <c r="H7" s="19"/>
      <c r="I7" s="1"/>
    </row>
    <row r="8" spans="1:9" ht="15.75" x14ac:dyDescent="0.25">
      <c r="A8" s="6" t="s">
        <v>5</v>
      </c>
      <c r="B8" s="6">
        <v>40</v>
      </c>
      <c r="C8" s="15">
        <v>3500</v>
      </c>
      <c r="D8" s="15">
        <f t="shared" si="1"/>
        <v>140000</v>
      </c>
      <c r="E8" s="6">
        <v>96</v>
      </c>
      <c r="F8" s="15">
        <v>3500</v>
      </c>
      <c r="G8" s="15">
        <f t="shared" si="0"/>
        <v>336000</v>
      </c>
      <c r="H8" s="19"/>
      <c r="I8" s="1"/>
    </row>
    <row r="9" spans="1:9" ht="15.75" x14ac:dyDescent="0.25">
      <c r="A9" s="6" t="s">
        <v>3</v>
      </c>
      <c r="B9" s="6">
        <v>32</v>
      </c>
      <c r="C9" s="15">
        <v>3500</v>
      </c>
      <c r="D9" s="15">
        <f t="shared" si="1"/>
        <v>112000</v>
      </c>
      <c r="E9" s="6">
        <v>46</v>
      </c>
      <c r="F9" s="15">
        <v>3500</v>
      </c>
      <c r="G9" s="15">
        <f t="shared" si="0"/>
        <v>161000</v>
      </c>
      <c r="H9" s="19"/>
      <c r="I9" s="1"/>
    </row>
    <row r="10" spans="1:9" ht="15.75" x14ac:dyDescent="0.25">
      <c r="A10" s="6" t="s">
        <v>12</v>
      </c>
      <c r="B10" s="6">
        <v>32</v>
      </c>
      <c r="C10" s="15">
        <v>1000</v>
      </c>
      <c r="D10" s="15">
        <f t="shared" si="1"/>
        <v>32000</v>
      </c>
      <c r="E10" s="6"/>
      <c r="F10" s="15"/>
      <c r="G10" s="15">
        <f t="shared" si="0"/>
        <v>0</v>
      </c>
      <c r="H10" s="19"/>
      <c r="I10" s="1"/>
    </row>
    <row r="11" spans="1:9" ht="15.75" x14ac:dyDescent="0.25">
      <c r="A11" s="6" t="s">
        <v>2</v>
      </c>
      <c r="B11" s="6">
        <v>26.5</v>
      </c>
      <c r="C11" s="15">
        <v>3000</v>
      </c>
      <c r="D11" s="15">
        <f t="shared" si="1"/>
        <v>79500</v>
      </c>
      <c r="E11" s="6"/>
      <c r="F11" s="15"/>
      <c r="G11" s="15">
        <f t="shared" si="0"/>
        <v>0</v>
      </c>
      <c r="H11" s="19"/>
      <c r="I11" s="1"/>
    </row>
    <row r="12" spans="1:9" ht="15.75" x14ac:dyDescent="0.25">
      <c r="A12" s="6" t="s">
        <v>10</v>
      </c>
      <c r="B12" s="6">
        <v>129.5</v>
      </c>
      <c r="C12" s="15">
        <v>2500</v>
      </c>
      <c r="D12" s="15">
        <f t="shared" si="1"/>
        <v>323750</v>
      </c>
      <c r="E12" s="6">
        <v>16.5</v>
      </c>
      <c r="F12" s="15">
        <v>2500</v>
      </c>
      <c r="G12" s="15">
        <f t="shared" si="0"/>
        <v>41250</v>
      </c>
      <c r="H12" s="19"/>
      <c r="I12" s="1"/>
    </row>
    <row r="13" spans="1:9" ht="15.75" x14ac:dyDescent="0.25">
      <c r="A13" s="6" t="s">
        <v>11</v>
      </c>
      <c r="B13" s="6">
        <v>57</v>
      </c>
      <c r="C13" s="15">
        <v>3000</v>
      </c>
      <c r="D13" s="15">
        <f t="shared" si="1"/>
        <v>171000</v>
      </c>
      <c r="E13" s="6">
        <v>24</v>
      </c>
      <c r="F13" s="15">
        <v>3000</v>
      </c>
      <c r="G13" s="15">
        <f t="shared" si="0"/>
        <v>72000</v>
      </c>
      <c r="H13" s="19"/>
      <c r="I13" s="1"/>
    </row>
    <row r="14" spans="1:9" ht="15.75" x14ac:dyDescent="0.25">
      <c r="A14" s="6" t="s">
        <v>8</v>
      </c>
      <c r="B14" s="6">
        <v>5</v>
      </c>
      <c r="C14" s="15">
        <v>4000</v>
      </c>
      <c r="D14" s="15">
        <f t="shared" si="1"/>
        <v>20000</v>
      </c>
      <c r="E14" s="6"/>
      <c r="F14" s="15"/>
      <c r="G14" s="15">
        <f t="shared" si="0"/>
        <v>0</v>
      </c>
      <c r="H14" s="19"/>
      <c r="I14" s="1"/>
    </row>
    <row r="15" spans="1:9" ht="15.75" x14ac:dyDescent="0.25">
      <c r="A15" s="6" t="s">
        <v>6</v>
      </c>
      <c r="B15" s="6">
        <v>18</v>
      </c>
      <c r="C15" s="15">
        <v>4000</v>
      </c>
      <c r="D15" s="15">
        <f t="shared" si="1"/>
        <v>72000</v>
      </c>
      <c r="E15" s="6"/>
      <c r="F15" s="15"/>
      <c r="G15" s="15">
        <f t="shared" si="0"/>
        <v>0</v>
      </c>
      <c r="H15" s="19"/>
      <c r="I15" s="1"/>
    </row>
    <row r="16" spans="1:9" ht="15.75" x14ac:dyDescent="0.25">
      <c r="A16" s="6" t="s">
        <v>4</v>
      </c>
      <c r="B16" s="6">
        <v>40.5</v>
      </c>
      <c r="C16" s="15">
        <v>1000</v>
      </c>
      <c r="D16" s="15">
        <f t="shared" si="1"/>
        <v>40500</v>
      </c>
      <c r="E16" s="6">
        <v>24</v>
      </c>
      <c r="F16" s="15">
        <v>1000</v>
      </c>
      <c r="G16" s="15">
        <f t="shared" si="0"/>
        <v>24000</v>
      </c>
      <c r="H16" s="19"/>
      <c r="I16" s="1"/>
    </row>
    <row r="17" spans="1:17" ht="15.75" x14ac:dyDescent="0.25">
      <c r="A17" s="6" t="s">
        <v>1</v>
      </c>
      <c r="B17" s="6">
        <v>24</v>
      </c>
      <c r="C17" s="15">
        <v>2500</v>
      </c>
      <c r="D17" s="15">
        <f t="shared" si="1"/>
        <v>60000</v>
      </c>
      <c r="E17" s="6"/>
      <c r="F17" s="15"/>
      <c r="G17" s="15">
        <f t="shared" si="0"/>
        <v>0</v>
      </c>
      <c r="H17" s="19"/>
      <c r="I17" s="1"/>
    </row>
    <row r="18" spans="1:17" ht="15.75" x14ac:dyDescent="0.25">
      <c r="A18" s="6" t="s">
        <v>14</v>
      </c>
      <c r="B18" s="6"/>
      <c r="C18" s="15">
        <v>4000</v>
      </c>
      <c r="D18" s="15">
        <f t="shared" si="1"/>
        <v>0</v>
      </c>
      <c r="E18" s="6">
        <v>13</v>
      </c>
      <c r="F18" s="15">
        <v>4000</v>
      </c>
      <c r="G18" s="15">
        <f>E18*F18</f>
        <v>52000</v>
      </c>
      <c r="H18" s="19"/>
      <c r="I18" s="1"/>
    </row>
    <row r="19" spans="1:17" ht="15.75" x14ac:dyDescent="0.25">
      <c r="A19" s="6" t="s">
        <v>13</v>
      </c>
      <c r="B19" s="6">
        <v>8</v>
      </c>
      <c r="C19" s="15">
        <v>3500</v>
      </c>
      <c r="D19" s="15">
        <f t="shared" si="1"/>
        <v>28000</v>
      </c>
      <c r="E19" s="6">
        <v>8</v>
      </c>
      <c r="F19" s="15">
        <v>3500</v>
      </c>
      <c r="G19" s="15">
        <f>E19*F19</f>
        <v>28000</v>
      </c>
      <c r="H19" s="19"/>
      <c r="I19" s="1"/>
    </row>
    <row r="20" spans="1:17" ht="15.75" x14ac:dyDescent="0.25">
      <c r="A20" s="6" t="s">
        <v>15</v>
      </c>
      <c r="B20" s="6">
        <v>24</v>
      </c>
      <c r="C20" s="15">
        <v>2000</v>
      </c>
      <c r="D20" s="15">
        <f t="shared" si="1"/>
        <v>48000</v>
      </c>
      <c r="E20" s="6">
        <v>7.5</v>
      </c>
      <c r="F20" s="15">
        <v>2000</v>
      </c>
      <c r="G20" s="15">
        <f>E20*F20</f>
        <v>15000</v>
      </c>
      <c r="H20" s="19"/>
      <c r="I20" s="1"/>
    </row>
    <row r="21" spans="1:17" ht="15.75" x14ac:dyDescent="0.25">
      <c r="A21" s="6" t="s">
        <v>16</v>
      </c>
      <c r="B21" s="6"/>
      <c r="C21" s="15"/>
      <c r="D21" s="15">
        <f t="shared" si="1"/>
        <v>0</v>
      </c>
      <c r="E21" s="6"/>
      <c r="F21" s="15"/>
      <c r="G21" s="15">
        <f>E21*F21</f>
        <v>0</v>
      </c>
      <c r="H21" s="19"/>
      <c r="I21" s="1"/>
    </row>
    <row r="22" spans="1:17" ht="15.75" x14ac:dyDescent="0.25">
      <c r="A22" s="12" t="s">
        <v>23</v>
      </c>
      <c r="B22" s="13">
        <f>SUM(B5:B21)</f>
        <v>872.5</v>
      </c>
      <c r="C22" s="16"/>
      <c r="D22" s="16">
        <f>SUM(D5:D21)</f>
        <v>2102750</v>
      </c>
      <c r="E22" s="13">
        <f>SUM(E5:E21)</f>
        <v>275</v>
      </c>
      <c r="F22" s="16"/>
      <c r="G22" s="16">
        <f>SUM(G5:G21)</f>
        <v>869250</v>
      </c>
      <c r="H22" s="20"/>
      <c r="I22" s="1"/>
    </row>
    <row r="23" spans="1:17" ht="15.75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17" ht="15.75" x14ac:dyDescent="0.25">
      <c r="A24" s="1"/>
      <c r="B24" s="14" t="s">
        <v>24</v>
      </c>
      <c r="C24" s="1"/>
      <c r="D24" s="1"/>
      <c r="E24" s="1"/>
      <c r="F24" s="1"/>
      <c r="G24" s="1"/>
      <c r="H24" s="1"/>
      <c r="I24" s="1"/>
    </row>
    <row r="25" spans="1:17" ht="15.75" x14ac:dyDescent="0.25">
      <c r="A25" s="9" t="s">
        <v>22</v>
      </c>
      <c r="B25" s="10" t="s">
        <v>17</v>
      </c>
      <c r="C25" s="2" t="s">
        <v>50</v>
      </c>
      <c r="D25" s="3"/>
      <c r="E25" s="10" t="s">
        <v>21</v>
      </c>
      <c r="F25" s="2"/>
      <c r="G25" s="3"/>
      <c r="H25" s="3" t="s">
        <v>21</v>
      </c>
      <c r="I25" s="9" t="s">
        <v>30</v>
      </c>
      <c r="J25" s="27" t="s">
        <v>31</v>
      </c>
      <c r="K25" s="27" t="s">
        <v>20</v>
      </c>
      <c r="N25" s="21" t="s">
        <v>43</v>
      </c>
      <c r="O25" s="21" t="s">
        <v>44</v>
      </c>
      <c r="P25" s="21" t="s">
        <v>45</v>
      </c>
      <c r="Q25" s="21" t="s">
        <v>20</v>
      </c>
    </row>
    <row r="26" spans="1:17" ht="15.75" x14ac:dyDescent="0.25">
      <c r="A26" s="8"/>
      <c r="B26" s="4" t="s">
        <v>18</v>
      </c>
      <c r="C26" s="8" t="s">
        <v>19</v>
      </c>
      <c r="D26" s="11" t="s">
        <v>20</v>
      </c>
      <c r="E26" s="8" t="s">
        <v>18</v>
      </c>
      <c r="F26" s="8" t="s">
        <v>19</v>
      </c>
      <c r="G26" s="11" t="s">
        <v>20</v>
      </c>
      <c r="H26" s="11"/>
      <c r="I26" s="69" t="s">
        <v>49</v>
      </c>
      <c r="J26" s="70"/>
      <c r="K26" s="71"/>
      <c r="N26" s="21" t="s">
        <v>38</v>
      </c>
      <c r="O26" s="21">
        <v>204</v>
      </c>
      <c r="P26" s="21">
        <v>1360</v>
      </c>
      <c r="Q26" s="22">
        <v>12878</v>
      </c>
    </row>
    <row r="27" spans="1:17" ht="15.75" x14ac:dyDescent="0.25">
      <c r="A27" s="5">
        <v>110</v>
      </c>
      <c r="B27" s="6">
        <v>80</v>
      </c>
      <c r="C27" s="15">
        <v>3500</v>
      </c>
      <c r="D27" s="15">
        <f>B27*C27</f>
        <v>280000</v>
      </c>
      <c r="E27" s="7">
        <v>56</v>
      </c>
      <c r="F27" s="15">
        <v>3500</v>
      </c>
      <c r="G27" s="15">
        <f t="shared" ref="G27:G39" si="2">E27*F27</f>
        <v>196000</v>
      </c>
      <c r="H27" s="15"/>
      <c r="I27" s="6"/>
      <c r="J27" s="21"/>
      <c r="K27" s="26"/>
      <c r="N27" s="21" t="s">
        <v>39</v>
      </c>
      <c r="O27" s="21">
        <v>186</v>
      </c>
      <c r="P27" s="21">
        <v>1240</v>
      </c>
      <c r="Q27" s="22">
        <v>11500</v>
      </c>
    </row>
    <row r="28" spans="1:17" ht="15.75" x14ac:dyDescent="0.25">
      <c r="A28" s="6" t="s">
        <v>7</v>
      </c>
      <c r="B28" s="6">
        <v>252</v>
      </c>
      <c r="C28" s="15">
        <v>1000</v>
      </c>
      <c r="D28" s="15">
        <f t="shared" ref="D28:D43" si="3">B28*C28</f>
        <v>252000</v>
      </c>
      <c r="E28" s="6"/>
      <c r="F28" s="15">
        <v>1000</v>
      </c>
      <c r="G28" s="15">
        <f t="shared" si="2"/>
        <v>0</v>
      </c>
      <c r="H28" s="15"/>
      <c r="I28" s="6"/>
      <c r="J28" s="21"/>
      <c r="K28" s="21"/>
      <c r="N28" s="21" t="s">
        <v>40</v>
      </c>
      <c r="O28" s="21">
        <v>130</v>
      </c>
      <c r="P28" s="21">
        <v>866</v>
      </c>
      <c r="Q28" s="22">
        <v>9943</v>
      </c>
    </row>
    <row r="29" spans="1:17" ht="15.75" x14ac:dyDescent="0.25">
      <c r="A29" s="6" t="s">
        <v>9</v>
      </c>
      <c r="B29" s="6">
        <v>208</v>
      </c>
      <c r="C29" s="15">
        <v>3500</v>
      </c>
      <c r="D29" s="15">
        <f t="shared" si="3"/>
        <v>728000</v>
      </c>
      <c r="E29" s="6"/>
      <c r="F29" s="15">
        <v>3500</v>
      </c>
      <c r="G29" s="15">
        <f t="shared" si="2"/>
        <v>0</v>
      </c>
      <c r="H29" s="15"/>
      <c r="I29" s="6" t="s">
        <v>29</v>
      </c>
      <c r="J29" s="21">
        <v>32</v>
      </c>
      <c r="K29" s="22">
        <v>112000</v>
      </c>
      <c r="N29" s="21" t="s">
        <v>41</v>
      </c>
      <c r="O29" s="21">
        <v>90</v>
      </c>
      <c r="P29" s="21">
        <v>600</v>
      </c>
      <c r="Q29" s="22">
        <v>6063</v>
      </c>
    </row>
    <row r="30" spans="1:17" ht="15.75" x14ac:dyDescent="0.25">
      <c r="A30" s="6" t="s">
        <v>5</v>
      </c>
      <c r="B30" s="6">
        <v>104</v>
      </c>
      <c r="C30" s="15">
        <v>3500</v>
      </c>
      <c r="D30" s="15">
        <f t="shared" si="3"/>
        <v>364000</v>
      </c>
      <c r="E30" s="6">
        <v>48</v>
      </c>
      <c r="F30" s="15">
        <v>3500</v>
      </c>
      <c r="G30" s="15">
        <f t="shared" si="2"/>
        <v>168000</v>
      </c>
      <c r="H30" s="15"/>
      <c r="I30" s="6" t="s">
        <v>29</v>
      </c>
      <c r="J30" s="21">
        <v>16</v>
      </c>
      <c r="K30" s="22">
        <v>56000</v>
      </c>
      <c r="N30" s="21" t="s">
        <v>42</v>
      </c>
      <c r="O30" s="21">
        <v>77</v>
      </c>
      <c r="P30" s="21">
        <v>513</v>
      </c>
      <c r="Q30" s="22">
        <v>4999</v>
      </c>
    </row>
    <row r="31" spans="1:17" ht="15.75" x14ac:dyDescent="0.25">
      <c r="A31" s="6" t="s">
        <v>3</v>
      </c>
      <c r="B31" s="6">
        <v>142</v>
      </c>
      <c r="C31" s="15">
        <v>3500</v>
      </c>
      <c r="D31" s="15">
        <f t="shared" si="3"/>
        <v>497000</v>
      </c>
      <c r="E31" s="6">
        <v>49</v>
      </c>
      <c r="F31" s="15">
        <v>3500</v>
      </c>
      <c r="G31" s="15">
        <f t="shared" si="2"/>
        <v>171500</v>
      </c>
      <c r="H31" s="15"/>
      <c r="I31" s="6" t="s">
        <v>32</v>
      </c>
      <c r="J31" s="21">
        <v>24</v>
      </c>
      <c r="K31" s="22">
        <v>84000</v>
      </c>
      <c r="N31" s="28" t="s">
        <v>46</v>
      </c>
      <c r="O31" s="28">
        <v>170</v>
      </c>
      <c r="P31" s="28">
        <v>1133</v>
      </c>
      <c r="Q31" s="29">
        <v>12400</v>
      </c>
    </row>
    <row r="32" spans="1:17" ht="15.75" x14ac:dyDescent="0.25">
      <c r="A32" s="6" t="s">
        <v>12</v>
      </c>
      <c r="B32" s="6">
        <v>126.5</v>
      </c>
      <c r="C32" s="15">
        <v>1000</v>
      </c>
      <c r="D32" s="15">
        <f t="shared" si="3"/>
        <v>126500</v>
      </c>
      <c r="E32" s="6"/>
      <c r="F32" s="15">
        <v>1000</v>
      </c>
      <c r="G32" s="15">
        <f t="shared" si="2"/>
        <v>0</v>
      </c>
      <c r="H32" s="15"/>
      <c r="I32" s="6"/>
      <c r="J32" s="21"/>
      <c r="K32" s="22"/>
      <c r="N32" s="28" t="s">
        <v>7</v>
      </c>
      <c r="O32" s="28">
        <v>230</v>
      </c>
      <c r="P32" s="21"/>
      <c r="Q32" s="21"/>
    </row>
    <row r="33" spans="1:24" ht="15.75" x14ac:dyDescent="0.25">
      <c r="A33" s="6" t="s">
        <v>2</v>
      </c>
      <c r="B33" s="6">
        <v>26.5</v>
      </c>
      <c r="C33" s="15">
        <v>3000</v>
      </c>
      <c r="D33" s="15">
        <f t="shared" si="3"/>
        <v>79500</v>
      </c>
      <c r="E33" s="6"/>
      <c r="F33" s="15">
        <v>3000</v>
      </c>
      <c r="G33" s="15">
        <f t="shared" si="2"/>
        <v>0</v>
      </c>
      <c r="H33" s="15"/>
      <c r="I33" s="23" t="s">
        <v>34</v>
      </c>
      <c r="J33" s="21">
        <v>26.5</v>
      </c>
      <c r="K33" s="22">
        <v>79500</v>
      </c>
    </row>
    <row r="34" spans="1:24" ht="15.75" x14ac:dyDescent="0.25">
      <c r="A34" s="30" t="s">
        <v>10</v>
      </c>
      <c r="B34" s="30">
        <v>135.6</v>
      </c>
      <c r="C34" s="31">
        <v>2500</v>
      </c>
      <c r="D34" s="31">
        <f t="shared" si="3"/>
        <v>339000</v>
      </c>
      <c r="E34" s="6">
        <v>53</v>
      </c>
      <c r="F34" s="15">
        <v>2500</v>
      </c>
      <c r="G34" s="15">
        <f t="shared" si="2"/>
        <v>132500</v>
      </c>
      <c r="H34" s="15"/>
      <c r="I34" s="6" t="s">
        <v>32</v>
      </c>
      <c r="J34" s="21">
        <v>25</v>
      </c>
      <c r="K34" s="22">
        <v>62500</v>
      </c>
    </row>
    <row r="35" spans="1:24" ht="15.75" x14ac:dyDescent="0.25">
      <c r="A35" s="6" t="s">
        <v>11</v>
      </c>
      <c r="B35" s="6">
        <v>101</v>
      </c>
      <c r="C35" s="15">
        <v>3000</v>
      </c>
      <c r="D35" s="15">
        <f t="shared" si="3"/>
        <v>303000</v>
      </c>
      <c r="E35" s="6"/>
      <c r="F35" s="15">
        <v>3000</v>
      </c>
      <c r="G35" s="15">
        <f t="shared" si="2"/>
        <v>0</v>
      </c>
      <c r="H35" s="15"/>
      <c r="I35" s="6"/>
      <c r="J35" s="21"/>
      <c r="K35" s="22"/>
    </row>
    <row r="36" spans="1:24" ht="15.75" x14ac:dyDescent="0.25">
      <c r="A36" s="6" t="s">
        <v>8</v>
      </c>
      <c r="B36" s="6"/>
      <c r="C36" s="15">
        <v>4000</v>
      </c>
      <c r="D36" s="15">
        <f t="shared" si="3"/>
        <v>0</v>
      </c>
      <c r="E36" s="6"/>
      <c r="F36" s="15">
        <v>4000</v>
      </c>
      <c r="G36" s="15">
        <f t="shared" si="2"/>
        <v>0</v>
      </c>
      <c r="H36" s="15"/>
      <c r="I36" s="6"/>
      <c r="J36" s="21"/>
      <c r="K36" s="22"/>
    </row>
    <row r="37" spans="1:24" ht="15.75" x14ac:dyDescent="0.25">
      <c r="A37" s="6" t="s">
        <v>6</v>
      </c>
      <c r="B37" s="6">
        <v>88</v>
      </c>
      <c r="C37" s="15">
        <v>4000</v>
      </c>
      <c r="D37" s="15">
        <f t="shared" si="3"/>
        <v>352000</v>
      </c>
      <c r="E37" s="6">
        <v>59</v>
      </c>
      <c r="F37" s="15">
        <v>4000</v>
      </c>
      <c r="G37" s="15">
        <f t="shared" si="2"/>
        <v>236000</v>
      </c>
      <c r="H37" s="15"/>
      <c r="I37" s="6"/>
      <c r="J37" s="21"/>
      <c r="K37" s="22"/>
    </row>
    <row r="38" spans="1:24" ht="15.75" x14ac:dyDescent="0.25">
      <c r="A38" s="6" t="s">
        <v>4</v>
      </c>
      <c r="B38" s="6">
        <v>88</v>
      </c>
      <c r="C38" s="15">
        <v>1000</v>
      </c>
      <c r="D38" s="15">
        <f t="shared" si="3"/>
        <v>88000</v>
      </c>
      <c r="E38" s="6">
        <v>82</v>
      </c>
      <c r="F38" s="15">
        <v>1000</v>
      </c>
      <c r="G38" s="15">
        <f t="shared" si="2"/>
        <v>82000</v>
      </c>
      <c r="H38" s="15"/>
      <c r="I38" s="6"/>
      <c r="J38" s="21"/>
      <c r="K38" s="22"/>
    </row>
    <row r="39" spans="1:24" ht="15.75" x14ac:dyDescent="0.25">
      <c r="A39" s="6" t="s">
        <v>1</v>
      </c>
      <c r="B39" s="6"/>
      <c r="C39" s="15">
        <v>2500</v>
      </c>
      <c r="D39" s="15">
        <f t="shared" si="3"/>
        <v>0</v>
      </c>
      <c r="E39" s="6"/>
      <c r="F39" s="15">
        <v>2500</v>
      </c>
      <c r="G39" s="15">
        <f t="shared" si="2"/>
        <v>0</v>
      </c>
      <c r="H39" s="15"/>
      <c r="I39" s="6"/>
      <c r="J39" s="21"/>
      <c r="K39" s="22"/>
      <c r="Q39" s="32" t="s">
        <v>58</v>
      </c>
    </row>
    <row r="40" spans="1:24" ht="15.75" x14ac:dyDescent="0.25">
      <c r="A40" s="6" t="s">
        <v>14</v>
      </c>
      <c r="B40" s="6">
        <v>6.5</v>
      </c>
      <c r="C40" s="15">
        <v>4000</v>
      </c>
      <c r="D40" s="15">
        <f t="shared" si="3"/>
        <v>26000</v>
      </c>
      <c r="E40" s="6"/>
      <c r="F40" s="15">
        <v>4000</v>
      </c>
      <c r="G40" s="15">
        <f>E40*F40</f>
        <v>0</v>
      </c>
      <c r="H40" s="15"/>
      <c r="I40" s="6"/>
      <c r="J40" s="21"/>
      <c r="K40" s="22"/>
      <c r="N40" s="1"/>
      <c r="O40" s="14" t="s">
        <v>24</v>
      </c>
      <c r="P40" s="1"/>
      <c r="Q40" s="1"/>
      <c r="R40" s="1"/>
      <c r="S40" s="1"/>
      <c r="T40" s="1"/>
      <c r="U40" s="1"/>
      <c r="V40" s="1" t="s">
        <v>76</v>
      </c>
    </row>
    <row r="41" spans="1:24" ht="15.75" x14ac:dyDescent="0.25">
      <c r="A41" s="6" t="s">
        <v>13</v>
      </c>
      <c r="B41" s="6">
        <v>22</v>
      </c>
      <c r="C41" s="15">
        <v>3500</v>
      </c>
      <c r="D41" s="15">
        <f t="shared" si="3"/>
        <v>77000</v>
      </c>
      <c r="E41" s="6">
        <v>29</v>
      </c>
      <c r="F41" s="15">
        <v>3500</v>
      </c>
      <c r="G41" s="15">
        <f>E41*F41</f>
        <v>101500</v>
      </c>
      <c r="H41" s="15"/>
      <c r="I41" s="21"/>
      <c r="J41" s="21"/>
      <c r="K41" s="21"/>
      <c r="N41" s="9" t="s">
        <v>22</v>
      </c>
      <c r="O41" s="10" t="s">
        <v>17</v>
      </c>
      <c r="P41" s="2" t="s">
        <v>50</v>
      </c>
      <c r="Q41" s="3"/>
      <c r="R41" s="10" t="s">
        <v>21</v>
      </c>
      <c r="S41" s="2"/>
      <c r="T41" s="3"/>
      <c r="U41" s="3" t="s">
        <v>21</v>
      </c>
      <c r="V41" s="9" t="s">
        <v>30</v>
      </c>
      <c r="W41" s="27" t="s">
        <v>31</v>
      </c>
      <c r="X41" s="27" t="s">
        <v>20</v>
      </c>
    </row>
    <row r="42" spans="1:24" ht="15.75" x14ac:dyDescent="0.25">
      <c r="A42" s="6" t="s">
        <v>15</v>
      </c>
      <c r="B42" s="6">
        <v>73</v>
      </c>
      <c r="C42" s="15">
        <v>2000</v>
      </c>
      <c r="D42" s="15">
        <f t="shared" si="3"/>
        <v>146000</v>
      </c>
      <c r="E42" s="6"/>
      <c r="F42" s="15">
        <v>2000</v>
      </c>
      <c r="G42" s="15">
        <f>E42*F42</f>
        <v>0</v>
      </c>
      <c r="H42" s="15"/>
      <c r="I42" s="6" t="s">
        <v>33</v>
      </c>
      <c r="J42" s="21">
        <v>24</v>
      </c>
      <c r="K42" s="22">
        <v>48000</v>
      </c>
      <c r="N42" s="8"/>
      <c r="O42" s="4" t="s">
        <v>18</v>
      </c>
      <c r="P42" s="8" t="s">
        <v>19</v>
      </c>
      <c r="Q42" s="11" t="s">
        <v>20</v>
      </c>
      <c r="R42" s="8" t="s">
        <v>18</v>
      </c>
      <c r="S42" s="8" t="s">
        <v>19</v>
      </c>
      <c r="T42" s="11" t="s">
        <v>20</v>
      </c>
      <c r="U42" s="11"/>
      <c r="V42" s="69" t="s">
        <v>49</v>
      </c>
      <c r="W42" s="70"/>
      <c r="X42" s="71"/>
    </row>
    <row r="43" spans="1:24" ht="15.75" x14ac:dyDescent="0.25">
      <c r="A43" s="6" t="s">
        <v>16</v>
      </c>
      <c r="B43" s="6"/>
      <c r="C43" s="15"/>
      <c r="D43" s="15">
        <f t="shared" si="3"/>
        <v>0</v>
      </c>
      <c r="E43" s="6"/>
      <c r="F43" s="15"/>
      <c r="G43" s="15">
        <f>E43*F43</f>
        <v>0</v>
      </c>
      <c r="H43" s="15"/>
      <c r="I43" s="6"/>
      <c r="J43" s="21"/>
      <c r="K43" s="22"/>
      <c r="N43" s="5">
        <v>110</v>
      </c>
      <c r="O43" s="6">
        <v>80</v>
      </c>
      <c r="P43" s="15">
        <v>3500</v>
      </c>
      <c r="Q43" s="15">
        <f>O43*P43</f>
        <v>280000</v>
      </c>
      <c r="R43" s="7">
        <v>56</v>
      </c>
      <c r="S43" s="15">
        <v>3500</v>
      </c>
      <c r="T43" s="15">
        <f t="shared" ref="T43:T55" si="4">R43*S43</f>
        <v>196000</v>
      </c>
      <c r="U43" s="15"/>
      <c r="V43" s="6"/>
      <c r="W43" s="21"/>
      <c r="X43" s="26"/>
    </row>
    <row r="44" spans="1:24" ht="15.75" x14ac:dyDescent="0.25">
      <c r="A44" s="12" t="s">
        <v>36</v>
      </c>
      <c r="B44" s="13">
        <f>SUM(B27:B43)</f>
        <v>1453.1</v>
      </c>
      <c r="C44" s="16"/>
      <c r="D44" s="16">
        <f>SUM(D27:D43)</f>
        <v>3658000</v>
      </c>
      <c r="E44" s="13">
        <f>SUM(E27:E43)</f>
        <v>376</v>
      </c>
      <c r="F44" s="16"/>
      <c r="G44" s="16">
        <f>SUM(G27:G43)</f>
        <v>1087500</v>
      </c>
      <c r="H44" s="16"/>
      <c r="I44" s="6"/>
      <c r="J44" s="24">
        <f>SUM(J27:J43)</f>
        <v>147.5</v>
      </c>
      <c r="K44" s="25">
        <f>SUM(K27:K43)</f>
        <v>442000</v>
      </c>
      <c r="N44" s="6" t="s">
        <v>7</v>
      </c>
      <c r="O44" s="6">
        <v>252</v>
      </c>
      <c r="P44" s="15">
        <v>1000</v>
      </c>
      <c r="Q44" s="15">
        <f t="shared" ref="Q44:Q59" si="5">O44*P44</f>
        <v>252000</v>
      </c>
      <c r="R44" s="6"/>
      <c r="S44" s="15">
        <v>1000</v>
      </c>
      <c r="T44" s="15">
        <f t="shared" si="4"/>
        <v>0</v>
      </c>
      <c r="U44" s="15"/>
      <c r="V44" s="6"/>
      <c r="W44" s="21"/>
      <c r="X44" s="21"/>
    </row>
    <row r="45" spans="1:24" ht="15.75" x14ac:dyDescent="0.25">
      <c r="A45" s="12" t="s">
        <v>35</v>
      </c>
      <c r="B45" s="13"/>
      <c r="C45" s="13"/>
      <c r="D45" s="13"/>
      <c r="E45" s="13"/>
      <c r="F45" s="13">
        <v>0</v>
      </c>
      <c r="G45" s="13">
        <v>0</v>
      </c>
      <c r="H45" s="1"/>
      <c r="I45" s="1"/>
      <c r="N45" s="6" t="s">
        <v>9</v>
      </c>
      <c r="O45" s="6">
        <v>120</v>
      </c>
      <c r="P45" s="15">
        <v>3500</v>
      </c>
      <c r="Q45" s="15">
        <f t="shared" si="5"/>
        <v>420000</v>
      </c>
      <c r="R45" s="6"/>
      <c r="S45" s="15">
        <v>3500</v>
      </c>
      <c r="T45" s="15">
        <f t="shared" si="4"/>
        <v>0</v>
      </c>
      <c r="U45" s="15"/>
      <c r="V45" s="6" t="s">
        <v>29</v>
      </c>
      <c r="W45" s="21">
        <v>32</v>
      </c>
      <c r="X45" s="22">
        <v>112000</v>
      </c>
    </row>
    <row r="46" spans="1:24" ht="15.75" x14ac:dyDescent="0.25">
      <c r="A46" s="12" t="s">
        <v>37</v>
      </c>
      <c r="B46" s="12"/>
      <c r="C46" s="12"/>
      <c r="D46" s="16">
        <f>D44-D45</f>
        <v>3658000</v>
      </c>
      <c r="E46" s="16"/>
      <c r="F46" s="16"/>
      <c r="G46" s="16">
        <f>G44-G45</f>
        <v>1087500</v>
      </c>
      <c r="H46" s="1"/>
      <c r="I46" s="1"/>
      <c r="N46" s="6" t="s">
        <v>5</v>
      </c>
      <c r="O46" s="6">
        <v>72</v>
      </c>
      <c r="P46" s="15">
        <v>3500</v>
      </c>
      <c r="Q46" s="15">
        <f t="shared" si="5"/>
        <v>252000</v>
      </c>
      <c r="R46" s="6">
        <v>48</v>
      </c>
      <c r="S46" s="15">
        <v>3500</v>
      </c>
      <c r="T46" s="15">
        <f t="shared" si="4"/>
        <v>168000</v>
      </c>
      <c r="U46" s="15"/>
      <c r="V46" s="6" t="s">
        <v>29</v>
      </c>
      <c r="W46" s="21">
        <v>16</v>
      </c>
      <c r="X46" s="22">
        <v>56000</v>
      </c>
    </row>
    <row r="47" spans="1:24" ht="15.75" x14ac:dyDescent="0.25">
      <c r="A47" s="1"/>
      <c r="B47" s="1"/>
      <c r="C47" s="1"/>
      <c r="D47" s="1"/>
      <c r="E47" s="1"/>
      <c r="F47" s="1"/>
      <c r="G47" s="1"/>
      <c r="H47" s="1"/>
      <c r="I47" s="1"/>
      <c r="N47" s="6" t="s">
        <v>3</v>
      </c>
      <c r="O47" s="6">
        <v>94</v>
      </c>
      <c r="P47" s="15">
        <v>3500</v>
      </c>
      <c r="Q47" s="15">
        <f t="shared" si="5"/>
        <v>329000</v>
      </c>
      <c r="R47" s="6">
        <v>49</v>
      </c>
      <c r="S47" s="15">
        <v>3500</v>
      </c>
      <c r="T47" s="15">
        <f t="shared" si="4"/>
        <v>171500</v>
      </c>
      <c r="U47" s="15"/>
      <c r="V47" s="6" t="s">
        <v>32</v>
      </c>
      <c r="W47" s="21">
        <v>24</v>
      </c>
      <c r="X47" s="22">
        <v>84000</v>
      </c>
    </row>
    <row r="48" spans="1:24" ht="15.75" x14ac:dyDescent="0.25">
      <c r="A48" s="1"/>
      <c r="B48" s="1"/>
      <c r="C48" s="1"/>
      <c r="D48" s="1"/>
      <c r="E48" s="1"/>
      <c r="F48" s="1"/>
      <c r="G48" s="1"/>
      <c r="H48" s="1"/>
      <c r="I48" s="1"/>
      <c r="N48" s="6" t="s">
        <v>12</v>
      </c>
      <c r="O48" s="6">
        <v>106</v>
      </c>
      <c r="P48" s="15">
        <v>1000</v>
      </c>
      <c r="Q48" s="15">
        <f t="shared" si="5"/>
        <v>106000</v>
      </c>
      <c r="R48" s="6"/>
      <c r="S48" s="15">
        <v>1000</v>
      </c>
      <c r="T48" s="15">
        <f t="shared" si="4"/>
        <v>0</v>
      </c>
      <c r="U48" s="15"/>
      <c r="V48" s="6"/>
      <c r="W48" s="21"/>
      <c r="X48" s="22"/>
    </row>
    <row r="49" spans="1:24" ht="15.75" x14ac:dyDescent="0.25">
      <c r="A49" s="1"/>
      <c r="B49" s="1"/>
      <c r="C49" s="1"/>
      <c r="D49" s="1"/>
      <c r="E49" s="1"/>
      <c r="F49" s="1"/>
      <c r="G49" s="1"/>
      <c r="H49" s="1"/>
      <c r="I49" s="1"/>
      <c r="N49" s="6" t="s">
        <v>2</v>
      </c>
      <c r="O49" s="6"/>
      <c r="P49" s="15">
        <v>3000</v>
      </c>
      <c r="Q49" s="15">
        <f t="shared" si="5"/>
        <v>0</v>
      </c>
      <c r="R49" s="6"/>
      <c r="S49" s="15">
        <v>3000</v>
      </c>
      <c r="T49" s="15">
        <f t="shared" si="4"/>
        <v>0</v>
      </c>
      <c r="U49" s="15"/>
      <c r="V49" s="23" t="s">
        <v>34</v>
      </c>
      <c r="W49" s="21">
        <v>26.5</v>
      </c>
      <c r="X49" s="22">
        <v>79500</v>
      </c>
    </row>
    <row r="50" spans="1:24" ht="15.75" x14ac:dyDescent="0.25">
      <c r="A50" s="1"/>
      <c r="B50" s="14" t="s">
        <v>26</v>
      </c>
      <c r="C50" s="1"/>
      <c r="D50" s="14" t="s">
        <v>27</v>
      </c>
      <c r="E50" s="1"/>
      <c r="F50" s="1"/>
      <c r="G50" s="1"/>
      <c r="H50" s="1"/>
      <c r="I50" s="1"/>
      <c r="N50" s="30" t="s">
        <v>10</v>
      </c>
      <c r="O50" s="30">
        <v>112</v>
      </c>
      <c r="P50" s="31">
        <v>2500</v>
      </c>
      <c r="Q50" s="31">
        <f t="shared" si="5"/>
        <v>280000</v>
      </c>
      <c r="R50" s="6">
        <v>53</v>
      </c>
      <c r="S50" s="15">
        <v>2500</v>
      </c>
      <c r="T50" s="15">
        <f t="shared" si="4"/>
        <v>132500</v>
      </c>
      <c r="U50" s="15"/>
      <c r="V50" s="6" t="s">
        <v>32</v>
      </c>
      <c r="W50" s="21">
        <v>25</v>
      </c>
      <c r="X50" s="22">
        <v>62500</v>
      </c>
    </row>
    <row r="51" spans="1:24" ht="15.75" x14ac:dyDescent="0.25">
      <c r="A51" s="9" t="s">
        <v>22</v>
      </c>
      <c r="B51" s="10" t="s">
        <v>17</v>
      </c>
      <c r="C51" s="2" t="s">
        <v>48</v>
      </c>
      <c r="D51" s="3"/>
      <c r="E51" s="10" t="s">
        <v>21</v>
      </c>
      <c r="F51" s="2"/>
      <c r="G51" s="3"/>
      <c r="H51" s="18"/>
      <c r="I51" s="1"/>
      <c r="N51" s="6" t="s">
        <v>11</v>
      </c>
      <c r="O51" s="6">
        <v>54</v>
      </c>
      <c r="P51" s="15">
        <v>3000</v>
      </c>
      <c r="Q51" s="15">
        <f t="shared" si="5"/>
        <v>162000</v>
      </c>
      <c r="R51" s="6"/>
      <c r="S51" s="15">
        <v>3000</v>
      </c>
      <c r="T51" s="15">
        <f t="shared" si="4"/>
        <v>0</v>
      </c>
      <c r="U51" s="15"/>
      <c r="V51" s="6"/>
      <c r="W51" s="21"/>
      <c r="X51" s="22"/>
    </row>
    <row r="52" spans="1:24" ht="15.75" x14ac:dyDescent="0.25">
      <c r="A52" s="8"/>
      <c r="B52" s="4" t="s">
        <v>18</v>
      </c>
      <c r="C52" s="8" t="s">
        <v>19</v>
      </c>
      <c r="D52" s="11" t="s">
        <v>20</v>
      </c>
      <c r="E52" s="8" t="s">
        <v>18</v>
      </c>
      <c r="F52" s="8" t="s">
        <v>19</v>
      </c>
      <c r="G52" s="11" t="s">
        <v>20</v>
      </c>
      <c r="H52" s="17"/>
      <c r="I52" s="1"/>
      <c r="N52" s="6" t="s">
        <v>8</v>
      </c>
      <c r="O52" s="6"/>
      <c r="P52" s="15">
        <v>4000</v>
      </c>
      <c r="Q52" s="15">
        <f t="shared" si="5"/>
        <v>0</v>
      </c>
      <c r="R52" s="6"/>
      <c r="S52" s="15">
        <v>4000</v>
      </c>
      <c r="T52" s="15">
        <f t="shared" si="4"/>
        <v>0</v>
      </c>
      <c r="U52" s="15"/>
      <c r="V52" s="6"/>
      <c r="W52" s="21"/>
      <c r="X52" s="22"/>
    </row>
    <row r="53" spans="1:24" ht="15.75" x14ac:dyDescent="0.25">
      <c r="A53" s="5" t="s">
        <v>28</v>
      </c>
      <c r="B53" s="6">
        <v>128</v>
      </c>
      <c r="C53" s="15">
        <v>3500</v>
      </c>
      <c r="D53" s="15">
        <f>B53*C53</f>
        <v>448000</v>
      </c>
      <c r="E53" s="1"/>
      <c r="F53" s="15">
        <v>3500</v>
      </c>
      <c r="G53" s="15">
        <f t="shared" ref="G53:G60" si="6">E53*F53</f>
        <v>0</v>
      </c>
      <c r="H53" s="19"/>
      <c r="I53" s="1"/>
      <c r="N53" s="6" t="s">
        <v>6</v>
      </c>
      <c r="O53" s="6">
        <v>56</v>
      </c>
      <c r="P53" s="15">
        <v>4000</v>
      </c>
      <c r="Q53" s="15">
        <f t="shared" si="5"/>
        <v>224000</v>
      </c>
      <c r="R53" s="6">
        <v>59</v>
      </c>
      <c r="S53" s="15">
        <v>4000</v>
      </c>
      <c r="T53" s="15">
        <f t="shared" si="4"/>
        <v>236000</v>
      </c>
      <c r="U53" s="15"/>
      <c r="V53" s="6"/>
      <c r="W53" s="21"/>
      <c r="X53" s="22"/>
    </row>
    <row r="54" spans="1:24" ht="15.75" x14ac:dyDescent="0.25">
      <c r="A54" s="6" t="s">
        <v>7</v>
      </c>
      <c r="B54" s="6">
        <v>143</v>
      </c>
      <c r="C54" s="15">
        <v>1000</v>
      </c>
      <c r="D54" s="15">
        <f>B54*C54</f>
        <v>143000</v>
      </c>
      <c r="E54" s="6"/>
      <c r="F54" s="15">
        <v>1000</v>
      </c>
      <c r="G54" s="15">
        <f t="shared" si="6"/>
        <v>0</v>
      </c>
      <c r="H54" s="19"/>
      <c r="I54" s="1"/>
      <c r="N54" s="6" t="s">
        <v>4</v>
      </c>
      <c r="O54" s="6">
        <v>88</v>
      </c>
      <c r="P54" s="15">
        <v>1000</v>
      </c>
      <c r="Q54" s="15">
        <f t="shared" si="5"/>
        <v>88000</v>
      </c>
      <c r="R54" s="6">
        <v>82</v>
      </c>
      <c r="S54" s="15">
        <v>1000</v>
      </c>
      <c r="T54" s="15">
        <f t="shared" si="4"/>
        <v>82000</v>
      </c>
      <c r="U54" s="15"/>
      <c r="V54" s="6"/>
      <c r="W54" s="21"/>
      <c r="X54" s="22"/>
    </row>
    <row r="55" spans="1:24" ht="15.75" x14ac:dyDescent="0.25">
      <c r="A55" s="6" t="s">
        <v>9</v>
      </c>
      <c r="B55" s="6">
        <v>145</v>
      </c>
      <c r="C55" s="15">
        <v>3500</v>
      </c>
      <c r="D55" s="15">
        <f t="shared" ref="D55:D63" si="7">B55*C55</f>
        <v>507500</v>
      </c>
      <c r="E55" s="6"/>
      <c r="F55" s="15">
        <v>3500</v>
      </c>
      <c r="G55" s="15">
        <f t="shared" si="6"/>
        <v>0</v>
      </c>
      <c r="H55" s="19"/>
      <c r="I55" s="1"/>
      <c r="N55" s="6" t="s">
        <v>1</v>
      </c>
      <c r="O55" s="6"/>
      <c r="P55" s="15">
        <v>2500</v>
      </c>
      <c r="Q55" s="15">
        <f t="shared" si="5"/>
        <v>0</v>
      </c>
      <c r="R55" s="6"/>
      <c r="S55" s="15">
        <v>2500</v>
      </c>
      <c r="T55" s="15">
        <f t="shared" si="4"/>
        <v>0</v>
      </c>
      <c r="U55" s="15"/>
      <c r="V55" s="6"/>
      <c r="W55" s="21"/>
      <c r="X55" s="22"/>
    </row>
    <row r="56" spans="1:24" ht="15.75" x14ac:dyDescent="0.25">
      <c r="A56" s="6" t="s">
        <v>12</v>
      </c>
      <c r="B56" s="6"/>
      <c r="C56" s="15">
        <v>1000</v>
      </c>
      <c r="D56" s="15">
        <f t="shared" si="7"/>
        <v>0</v>
      </c>
      <c r="E56" s="6"/>
      <c r="F56" s="15">
        <v>1000</v>
      </c>
      <c r="G56" s="15">
        <f t="shared" si="6"/>
        <v>0</v>
      </c>
      <c r="H56" s="19"/>
      <c r="I56" s="1"/>
      <c r="N56" s="6" t="s">
        <v>14</v>
      </c>
      <c r="O56" s="6">
        <v>6.5</v>
      </c>
      <c r="P56" s="15">
        <v>4000</v>
      </c>
      <c r="Q56" s="15">
        <f t="shared" si="5"/>
        <v>26000</v>
      </c>
      <c r="R56" s="6"/>
      <c r="S56" s="15">
        <v>4000</v>
      </c>
      <c r="T56" s="15">
        <f>R56*S56</f>
        <v>0</v>
      </c>
      <c r="U56" s="15"/>
      <c r="V56" s="6"/>
      <c r="W56" s="21"/>
      <c r="X56" s="22"/>
    </row>
    <row r="57" spans="1:24" ht="15.75" x14ac:dyDescent="0.25">
      <c r="A57" s="6" t="s">
        <v>2</v>
      </c>
      <c r="B57" s="6"/>
      <c r="C57" s="15">
        <v>3000</v>
      </c>
      <c r="D57" s="15">
        <f t="shared" si="7"/>
        <v>0</v>
      </c>
      <c r="E57" s="6"/>
      <c r="F57" s="15">
        <v>3000</v>
      </c>
      <c r="G57" s="15">
        <f t="shared" si="6"/>
        <v>0</v>
      </c>
      <c r="H57" s="19"/>
      <c r="I57" s="1"/>
      <c r="N57" s="6" t="s">
        <v>13</v>
      </c>
      <c r="O57" s="6">
        <v>22</v>
      </c>
      <c r="P57" s="15">
        <v>3500</v>
      </c>
      <c r="Q57" s="15">
        <f t="shared" si="5"/>
        <v>77000</v>
      </c>
      <c r="R57" s="6">
        <v>29</v>
      </c>
      <c r="S57" s="15">
        <v>3500</v>
      </c>
      <c r="T57" s="15">
        <f>R57*S57</f>
        <v>101500</v>
      </c>
      <c r="U57" s="15"/>
      <c r="V57" s="21"/>
      <c r="W57" s="21"/>
      <c r="X57" s="21"/>
    </row>
    <row r="58" spans="1:24" ht="15.75" x14ac:dyDescent="0.25">
      <c r="A58" s="6" t="s">
        <v>11</v>
      </c>
      <c r="B58" s="6">
        <v>41</v>
      </c>
      <c r="C58" s="15">
        <v>3000</v>
      </c>
      <c r="D58" s="15">
        <f t="shared" si="7"/>
        <v>123000</v>
      </c>
      <c r="E58" s="6"/>
      <c r="F58" s="15">
        <v>3000</v>
      </c>
      <c r="G58" s="15">
        <f t="shared" si="6"/>
        <v>0</v>
      </c>
      <c r="H58" s="19"/>
      <c r="I58" s="1"/>
      <c r="N58" s="6" t="s">
        <v>15</v>
      </c>
      <c r="O58" s="6">
        <v>15</v>
      </c>
      <c r="P58" s="15">
        <v>2000</v>
      </c>
      <c r="Q58" s="15">
        <f t="shared" si="5"/>
        <v>30000</v>
      </c>
      <c r="R58" s="6"/>
      <c r="S58" s="15">
        <v>2000</v>
      </c>
      <c r="T58" s="15">
        <f>R58*S58</f>
        <v>0</v>
      </c>
      <c r="U58" s="15"/>
      <c r="V58" s="6" t="s">
        <v>33</v>
      </c>
      <c r="W58" s="21">
        <v>24</v>
      </c>
      <c r="X58" s="22">
        <v>48000</v>
      </c>
    </row>
    <row r="59" spans="1:24" ht="15.75" x14ac:dyDescent="0.25">
      <c r="A59" s="6" t="s">
        <v>8</v>
      </c>
      <c r="B59" s="6"/>
      <c r="C59" s="15">
        <v>4000</v>
      </c>
      <c r="D59" s="15">
        <f t="shared" si="7"/>
        <v>0</v>
      </c>
      <c r="E59" s="6"/>
      <c r="F59" s="15">
        <v>4000</v>
      </c>
      <c r="G59" s="15">
        <f t="shared" si="6"/>
        <v>0</v>
      </c>
      <c r="H59" s="19"/>
      <c r="I59" s="1"/>
      <c r="N59" s="6" t="s">
        <v>16</v>
      </c>
      <c r="O59" s="6"/>
      <c r="P59" s="15"/>
      <c r="Q59" s="15">
        <f t="shared" si="5"/>
        <v>0</v>
      </c>
      <c r="R59" s="6"/>
      <c r="S59" s="15"/>
      <c r="T59" s="15">
        <f>R59*S59</f>
        <v>0</v>
      </c>
      <c r="U59" s="15"/>
      <c r="V59" s="6"/>
      <c r="W59" s="21"/>
      <c r="X59" s="22"/>
    </row>
    <row r="60" spans="1:24" ht="15.75" x14ac:dyDescent="0.25">
      <c r="A60" s="6" t="s">
        <v>6</v>
      </c>
      <c r="B60" s="6"/>
      <c r="C60" s="15">
        <v>4000</v>
      </c>
      <c r="D60" s="15">
        <f t="shared" si="7"/>
        <v>0</v>
      </c>
      <c r="E60" s="6">
        <v>48</v>
      </c>
      <c r="F60" s="15">
        <v>4000</v>
      </c>
      <c r="G60" s="15">
        <f t="shared" si="6"/>
        <v>192000</v>
      </c>
      <c r="H60" s="19"/>
      <c r="I60" s="1"/>
      <c r="N60" s="12" t="s">
        <v>36</v>
      </c>
      <c r="O60" s="13">
        <f>SUM(O43:O59)</f>
        <v>1077.5</v>
      </c>
      <c r="P60" s="16"/>
      <c r="Q60" s="16">
        <f>SUM(Q43:Q59)</f>
        <v>2526000</v>
      </c>
      <c r="R60" s="13">
        <f>SUM(R43:R59)</f>
        <v>376</v>
      </c>
      <c r="S60" s="16"/>
      <c r="T60" s="16">
        <f>SUM(T43:T59)</f>
        <v>1087500</v>
      </c>
      <c r="U60" s="16"/>
      <c r="V60" s="6"/>
      <c r="W60" s="24">
        <f>SUM(W43:W59)</f>
        <v>147.5</v>
      </c>
      <c r="X60" s="25">
        <f>SUM(X43:X59)</f>
        <v>442000</v>
      </c>
    </row>
    <row r="61" spans="1:24" ht="15.75" x14ac:dyDescent="0.25">
      <c r="A61" s="6" t="s">
        <v>4</v>
      </c>
      <c r="B61" s="6">
        <v>57.5</v>
      </c>
      <c r="C61" s="15">
        <v>1000</v>
      </c>
      <c r="D61" s="15">
        <f t="shared" si="7"/>
        <v>57500</v>
      </c>
      <c r="E61" s="6">
        <v>40.5</v>
      </c>
      <c r="F61" s="15">
        <v>1000</v>
      </c>
      <c r="G61" s="15">
        <f>E61*F61</f>
        <v>40500</v>
      </c>
      <c r="H61" s="19"/>
      <c r="I61" s="1"/>
      <c r="N61" s="12" t="s">
        <v>35</v>
      </c>
      <c r="O61" s="13"/>
      <c r="P61" s="13"/>
      <c r="Q61" s="13"/>
      <c r="R61" s="13"/>
      <c r="S61" s="13">
        <v>0</v>
      </c>
      <c r="T61" s="13">
        <v>0</v>
      </c>
      <c r="U61" s="1"/>
      <c r="V61" s="1"/>
    </row>
    <row r="62" spans="1:24" ht="15.75" x14ac:dyDescent="0.25">
      <c r="A62" s="6" t="s">
        <v>1</v>
      </c>
      <c r="B62" s="6"/>
      <c r="C62" s="15">
        <v>2500</v>
      </c>
      <c r="D62" s="15">
        <f t="shared" si="7"/>
        <v>0</v>
      </c>
      <c r="E62" s="6"/>
      <c r="F62" s="15">
        <v>2500</v>
      </c>
      <c r="G62" s="15">
        <f>E62*F62</f>
        <v>0</v>
      </c>
      <c r="H62" s="19"/>
      <c r="I62" s="1"/>
      <c r="N62" s="12" t="s">
        <v>37</v>
      </c>
      <c r="O62" s="12"/>
      <c r="P62" s="12"/>
      <c r="Q62" s="16">
        <f>Q60-Q61</f>
        <v>2526000</v>
      </c>
      <c r="R62" s="16"/>
      <c r="S62" s="16"/>
      <c r="T62" s="16">
        <f>T60-T61</f>
        <v>1087500</v>
      </c>
      <c r="U62" s="1"/>
      <c r="V62" s="1"/>
    </row>
    <row r="63" spans="1:24" ht="15.75" x14ac:dyDescent="0.25">
      <c r="A63" s="5">
        <v>887</v>
      </c>
      <c r="B63" s="6">
        <v>56</v>
      </c>
      <c r="C63" s="15">
        <v>3000</v>
      </c>
      <c r="D63" s="15">
        <f t="shared" si="7"/>
        <v>168000</v>
      </c>
      <c r="E63" s="6">
        <v>24</v>
      </c>
      <c r="F63" s="15">
        <v>3000</v>
      </c>
      <c r="G63" s="15">
        <f>E63*F63</f>
        <v>72000</v>
      </c>
      <c r="H63" s="19"/>
      <c r="I63" s="1"/>
      <c r="N63" s="1"/>
      <c r="O63" s="1"/>
      <c r="P63" s="1"/>
      <c r="Q63" s="1"/>
      <c r="R63" s="1"/>
      <c r="S63" s="1"/>
      <c r="T63" s="1"/>
      <c r="U63" s="1"/>
      <c r="V63" s="1"/>
    </row>
    <row r="64" spans="1:24" ht="15.75" x14ac:dyDescent="0.25">
      <c r="A64" s="12" t="s">
        <v>36</v>
      </c>
      <c r="B64" s="13">
        <f>SUM(B53:B63)</f>
        <v>570.5</v>
      </c>
      <c r="C64" s="16"/>
      <c r="D64" s="16">
        <f>SUM(D53:D63)</f>
        <v>1447000</v>
      </c>
      <c r="E64" s="13">
        <f>SUM(E54:E63)</f>
        <v>112.5</v>
      </c>
      <c r="F64" s="16"/>
      <c r="G64" s="16">
        <f>SUM(G53:G63)</f>
        <v>304500</v>
      </c>
      <c r="H64" s="20"/>
      <c r="I64" s="1"/>
    </row>
    <row r="65" spans="1:24" ht="15.75" x14ac:dyDescent="0.25">
      <c r="A65" s="12" t="s">
        <v>35</v>
      </c>
      <c r="B65" s="13"/>
      <c r="C65" s="13"/>
      <c r="D65" s="16">
        <v>1165000</v>
      </c>
      <c r="E65" s="13"/>
      <c r="F65" s="13">
        <v>0</v>
      </c>
      <c r="G65" s="16">
        <v>0</v>
      </c>
      <c r="H65" s="1"/>
      <c r="I65" s="1"/>
      <c r="N65" s="1"/>
      <c r="O65" s="14" t="s">
        <v>24</v>
      </c>
      <c r="P65" s="14" t="s">
        <v>58</v>
      </c>
      <c r="Q65" s="1"/>
      <c r="R65" s="1"/>
      <c r="S65" s="1"/>
      <c r="T65" s="1"/>
      <c r="U65" s="1"/>
      <c r="V65" s="1"/>
    </row>
    <row r="66" spans="1:24" ht="15.75" x14ac:dyDescent="0.25">
      <c r="A66" s="12" t="s">
        <v>37</v>
      </c>
      <c r="B66" s="12"/>
      <c r="C66" s="12"/>
      <c r="D66" s="16">
        <f>D64-D65</f>
        <v>282000</v>
      </c>
      <c r="E66" s="12"/>
      <c r="F66" s="12"/>
      <c r="G66" s="16">
        <f>G64-G65</f>
        <v>304500</v>
      </c>
      <c r="H66" s="1"/>
      <c r="I66" s="1"/>
      <c r="N66" s="9" t="s">
        <v>22</v>
      </c>
      <c r="O66" s="10" t="s">
        <v>17</v>
      </c>
      <c r="P66" s="10" t="s">
        <v>48</v>
      </c>
      <c r="Q66" s="3"/>
      <c r="R66" s="10" t="s">
        <v>21</v>
      </c>
      <c r="S66" s="2"/>
      <c r="T66" s="3"/>
      <c r="U66" s="3" t="s">
        <v>21</v>
      </c>
      <c r="V66" s="9" t="s">
        <v>30</v>
      </c>
      <c r="W66" s="27" t="s">
        <v>31</v>
      </c>
      <c r="X66" s="27" t="s">
        <v>20</v>
      </c>
    </row>
    <row r="67" spans="1:24" ht="15.75" x14ac:dyDescent="0.25">
      <c r="A67" s="1"/>
      <c r="B67" s="1"/>
      <c r="C67" s="1"/>
      <c r="D67" s="1"/>
      <c r="E67" s="1"/>
      <c r="F67" s="1"/>
      <c r="G67" s="1"/>
      <c r="H67" s="1"/>
      <c r="I67" s="1"/>
      <c r="N67" s="8"/>
      <c r="O67" s="4" t="s">
        <v>18</v>
      </c>
      <c r="P67" s="8" t="s">
        <v>19</v>
      </c>
      <c r="Q67" s="11" t="s">
        <v>20</v>
      </c>
      <c r="R67" s="8" t="s">
        <v>18</v>
      </c>
      <c r="S67" s="8" t="s">
        <v>19</v>
      </c>
      <c r="T67" s="11" t="s">
        <v>20</v>
      </c>
      <c r="U67" s="11"/>
      <c r="V67" s="69" t="s">
        <v>49</v>
      </c>
      <c r="W67" s="70"/>
      <c r="X67" s="71"/>
    </row>
    <row r="68" spans="1:24" ht="15.75" x14ac:dyDescent="0.25">
      <c r="A68" s="1"/>
      <c r="B68" s="1"/>
      <c r="C68" s="1"/>
      <c r="D68" s="1"/>
      <c r="E68" s="1"/>
      <c r="F68" s="1"/>
      <c r="G68" s="1"/>
      <c r="H68" s="1"/>
      <c r="I68" s="1"/>
      <c r="N68" s="5">
        <v>110</v>
      </c>
      <c r="O68" s="6">
        <v>0</v>
      </c>
      <c r="P68" s="15">
        <v>3500</v>
      </c>
      <c r="Q68" s="15">
        <f>O68*P68</f>
        <v>0</v>
      </c>
      <c r="R68" s="7">
        <v>56</v>
      </c>
      <c r="S68" s="15">
        <v>3500</v>
      </c>
      <c r="T68" s="15">
        <f t="shared" ref="T68:T80" si="8">R68*S68</f>
        <v>196000</v>
      </c>
      <c r="U68" s="15"/>
      <c r="V68" s="6"/>
      <c r="W68" s="21"/>
      <c r="X68" s="26"/>
    </row>
    <row r="69" spans="1:24" ht="15.75" x14ac:dyDescent="0.25">
      <c r="A69" s="1"/>
      <c r="B69" s="14" t="s">
        <v>26</v>
      </c>
      <c r="C69" s="1"/>
      <c r="D69" s="14" t="s">
        <v>25</v>
      </c>
      <c r="E69" s="1"/>
      <c r="F69" s="1"/>
      <c r="G69" s="1"/>
      <c r="H69" s="1"/>
      <c r="I69" s="1"/>
      <c r="N69" s="6" t="s">
        <v>7</v>
      </c>
      <c r="O69" s="6">
        <v>0</v>
      </c>
      <c r="P69" s="15">
        <v>1000</v>
      </c>
      <c r="Q69" s="15">
        <f t="shared" ref="Q69:Q84" si="9">O69*P69</f>
        <v>0</v>
      </c>
      <c r="R69" s="6"/>
      <c r="S69" s="15">
        <v>1000</v>
      </c>
      <c r="T69" s="15">
        <f t="shared" si="8"/>
        <v>0</v>
      </c>
      <c r="U69" s="15"/>
      <c r="V69" s="6"/>
      <c r="W69" s="21"/>
      <c r="X69" s="21"/>
    </row>
    <row r="70" spans="1:24" ht="15.75" x14ac:dyDescent="0.25">
      <c r="A70" s="9" t="s">
        <v>22</v>
      </c>
      <c r="B70" s="10" t="s">
        <v>17</v>
      </c>
      <c r="C70" s="2" t="s">
        <v>48</v>
      </c>
      <c r="D70" s="3"/>
      <c r="E70" s="10" t="s">
        <v>21</v>
      </c>
      <c r="F70" s="2"/>
      <c r="G70" s="3"/>
      <c r="H70" s="18"/>
      <c r="I70" s="1"/>
      <c r="N70" s="6" t="s">
        <v>9</v>
      </c>
      <c r="O70" s="6">
        <v>88</v>
      </c>
      <c r="P70" s="15">
        <v>3500</v>
      </c>
      <c r="Q70" s="15">
        <f t="shared" si="9"/>
        <v>308000</v>
      </c>
      <c r="R70" s="6"/>
      <c r="S70" s="15">
        <v>3500</v>
      </c>
      <c r="T70" s="15">
        <f t="shared" si="8"/>
        <v>0</v>
      </c>
      <c r="U70" s="15"/>
      <c r="V70" s="6" t="s">
        <v>29</v>
      </c>
      <c r="W70" s="21">
        <v>32</v>
      </c>
      <c r="X70" s="22">
        <v>112000</v>
      </c>
    </row>
    <row r="71" spans="1:24" ht="15.75" x14ac:dyDescent="0.25">
      <c r="A71" s="8"/>
      <c r="B71" s="4" t="s">
        <v>18</v>
      </c>
      <c r="C71" s="8" t="s">
        <v>19</v>
      </c>
      <c r="D71" s="11" t="s">
        <v>20</v>
      </c>
      <c r="E71" s="8" t="s">
        <v>18</v>
      </c>
      <c r="F71" s="8" t="s">
        <v>19</v>
      </c>
      <c r="G71" s="11" t="s">
        <v>20</v>
      </c>
      <c r="H71" s="17"/>
      <c r="I71" s="1"/>
      <c r="N71" s="6" t="s">
        <v>5</v>
      </c>
      <c r="O71" s="6">
        <v>32</v>
      </c>
      <c r="P71" s="15">
        <v>3500</v>
      </c>
      <c r="Q71" s="15">
        <f t="shared" si="9"/>
        <v>112000</v>
      </c>
      <c r="R71" s="6">
        <v>48</v>
      </c>
      <c r="S71" s="15">
        <v>3500</v>
      </c>
      <c r="T71" s="15">
        <f t="shared" si="8"/>
        <v>168000</v>
      </c>
      <c r="U71" s="15"/>
      <c r="V71" s="6" t="s">
        <v>29</v>
      </c>
      <c r="W71" s="21">
        <v>16</v>
      </c>
      <c r="X71" s="22">
        <v>56000</v>
      </c>
    </row>
    <row r="72" spans="1:24" ht="15.75" x14ac:dyDescent="0.25">
      <c r="A72" s="6" t="s">
        <v>5</v>
      </c>
      <c r="B72" s="6">
        <v>100</v>
      </c>
      <c r="C72" s="15">
        <v>3500</v>
      </c>
      <c r="D72" s="15">
        <f t="shared" ref="D72:D78" si="10">B72*C72</f>
        <v>350000</v>
      </c>
      <c r="E72" s="6">
        <v>4</v>
      </c>
      <c r="F72" s="15">
        <v>3500</v>
      </c>
      <c r="G72" s="15">
        <f t="shared" ref="G72:G78" si="11">E72*F72</f>
        <v>14000</v>
      </c>
      <c r="H72" s="19"/>
      <c r="I72" s="1"/>
      <c r="N72" s="6" t="s">
        <v>3</v>
      </c>
      <c r="O72" s="6">
        <v>48</v>
      </c>
      <c r="P72" s="15">
        <v>3500</v>
      </c>
      <c r="Q72" s="15">
        <f t="shared" si="9"/>
        <v>168000</v>
      </c>
      <c r="R72" s="6">
        <v>49</v>
      </c>
      <c r="S72" s="15">
        <v>3500</v>
      </c>
      <c r="T72" s="15">
        <f t="shared" si="8"/>
        <v>171500</v>
      </c>
      <c r="U72" s="15"/>
      <c r="V72" s="6" t="s">
        <v>32</v>
      </c>
      <c r="W72" s="21">
        <v>24</v>
      </c>
      <c r="X72" s="22">
        <v>84000</v>
      </c>
    </row>
    <row r="73" spans="1:24" ht="15.75" x14ac:dyDescent="0.25">
      <c r="A73" s="6" t="s">
        <v>3</v>
      </c>
      <c r="B73" s="6">
        <v>43</v>
      </c>
      <c r="C73" s="15">
        <v>3500</v>
      </c>
      <c r="D73" s="15">
        <f t="shared" si="10"/>
        <v>150500</v>
      </c>
      <c r="E73" s="6">
        <v>58</v>
      </c>
      <c r="F73" s="15">
        <v>3500</v>
      </c>
      <c r="G73" s="15">
        <f t="shared" si="11"/>
        <v>203000</v>
      </c>
      <c r="H73" s="19"/>
      <c r="I73" s="1"/>
      <c r="N73" s="6" t="s">
        <v>12</v>
      </c>
      <c r="O73" s="6">
        <v>16</v>
      </c>
      <c r="P73" s="15">
        <v>1000</v>
      </c>
      <c r="Q73" s="15">
        <f t="shared" si="9"/>
        <v>16000</v>
      </c>
      <c r="R73" s="6"/>
      <c r="S73" s="15">
        <v>1000</v>
      </c>
      <c r="T73" s="15">
        <f t="shared" si="8"/>
        <v>0</v>
      </c>
      <c r="U73" s="15"/>
      <c r="V73" s="6"/>
      <c r="W73" s="21"/>
      <c r="X73" s="22"/>
    </row>
    <row r="74" spans="1:24" ht="15.75" x14ac:dyDescent="0.25">
      <c r="A74" s="6" t="s">
        <v>10</v>
      </c>
      <c r="B74" s="6">
        <v>112</v>
      </c>
      <c r="C74" s="15">
        <v>2500</v>
      </c>
      <c r="D74" s="15">
        <f t="shared" si="10"/>
        <v>280000</v>
      </c>
      <c r="E74" s="6">
        <v>8</v>
      </c>
      <c r="F74" s="15">
        <v>2500</v>
      </c>
      <c r="G74" s="15">
        <f t="shared" si="11"/>
        <v>20000</v>
      </c>
      <c r="H74" s="19"/>
      <c r="I74" s="1"/>
      <c r="N74" s="6" t="s">
        <v>2</v>
      </c>
      <c r="O74" s="6">
        <v>37</v>
      </c>
      <c r="P74" s="15">
        <v>3000</v>
      </c>
      <c r="Q74" s="15">
        <f t="shared" si="9"/>
        <v>111000</v>
      </c>
      <c r="R74" s="6"/>
      <c r="S74" s="15">
        <v>3000</v>
      </c>
      <c r="T74" s="15">
        <f t="shared" si="8"/>
        <v>0</v>
      </c>
      <c r="U74" s="15"/>
      <c r="V74" s="23" t="s">
        <v>34</v>
      </c>
      <c r="W74" s="21">
        <v>26.5</v>
      </c>
      <c r="X74" s="22">
        <v>79500</v>
      </c>
    </row>
    <row r="75" spans="1:24" ht="15.75" x14ac:dyDescent="0.25">
      <c r="A75" s="6" t="s">
        <v>14</v>
      </c>
      <c r="B75" s="6"/>
      <c r="C75" s="15">
        <v>4000</v>
      </c>
      <c r="D75" s="15">
        <f t="shared" si="10"/>
        <v>0</v>
      </c>
      <c r="E75" s="6"/>
      <c r="F75" s="15">
        <v>4000</v>
      </c>
      <c r="G75" s="15">
        <f t="shared" si="11"/>
        <v>0</v>
      </c>
      <c r="H75" s="19"/>
      <c r="I75" s="1"/>
      <c r="N75" s="30" t="s">
        <v>10</v>
      </c>
      <c r="O75" s="30">
        <v>0</v>
      </c>
      <c r="P75" s="31">
        <v>2500</v>
      </c>
      <c r="Q75" s="31">
        <f t="shared" si="9"/>
        <v>0</v>
      </c>
      <c r="R75" s="6">
        <v>53</v>
      </c>
      <c r="S75" s="15">
        <v>2500</v>
      </c>
      <c r="T75" s="15">
        <f t="shared" si="8"/>
        <v>132500</v>
      </c>
      <c r="U75" s="15"/>
      <c r="V75" s="6" t="s">
        <v>32</v>
      </c>
      <c r="W75" s="21">
        <v>25</v>
      </c>
      <c r="X75" s="22">
        <v>62500</v>
      </c>
    </row>
    <row r="76" spans="1:24" ht="15.75" x14ac:dyDescent="0.25">
      <c r="A76" s="6" t="s">
        <v>13</v>
      </c>
      <c r="B76" s="6">
        <v>16</v>
      </c>
      <c r="C76" s="15">
        <v>3500</v>
      </c>
      <c r="D76" s="15">
        <f t="shared" si="10"/>
        <v>56000</v>
      </c>
      <c r="E76" s="7">
        <v>10.7</v>
      </c>
      <c r="F76" s="15">
        <v>3500</v>
      </c>
      <c r="G76" s="15">
        <f t="shared" si="11"/>
        <v>37450</v>
      </c>
      <c r="H76" s="19"/>
      <c r="I76" s="1"/>
      <c r="N76" s="6" t="s">
        <v>11</v>
      </c>
      <c r="O76" s="6">
        <v>47</v>
      </c>
      <c r="P76" s="15">
        <v>3000</v>
      </c>
      <c r="Q76" s="15">
        <f t="shared" si="9"/>
        <v>141000</v>
      </c>
      <c r="R76" s="6"/>
      <c r="S76" s="15">
        <v>3000</v>
      </c>
      <c r="T76" s="15">
        <f t="shared" si="8"/>
        <v>0</v>
      </c>
      <c r="U76" s="15"/>
      <c r="V76" s="6"/>
      <c r="W76" s="21"/>
      <c r="X76" s="22"/>
    </row>
    <row r="77" spans="1:24" ht="15.75" x14ac:dyDescent="0.25">
      <c r="A77" s="6" t="s">
        <v>15</v>
      </c>
      <c r="B77" s="6">
        <v>30</v>
      </c>
      <c r="C77" s="15">
        <v>2000</v>
      </c>
      <c r="D77" s="15">
        <f t="shared" si="10"/>
        <v>60000</v>
      </c>
      <c r="E77" s="6"/>
      <c r="F77" s="15">
        <v>2000</v>
      </c>
      <c r="G77" s="15">
        <f t="shared" si="11"/>
        <v>0</v>
      </c>
      <c r="H77" s="19"/>
      <c r="I77" s="1"/>
      <c r="N77" s="6" t="s">
        <v>8</v>
      </c>
      <c r="O77" s="6"/>
      <c r="P77" s="15">
        <v>4000</v>
      </c>
      <c r="Q77" s="15">
        <f t="shared" si="9"/>
        <v>0</v>
      </c>
      <c r="R77" s="6"/>
      <c r="S77" s="15">
        <v>4000</v>
      </c>
      <c r="T77" s="15">
        <f t="shared" si="8"/>
        <v>0</v>
      </c>
      <c r="U77" s="15"/>
      <c r="V77" s="6"/>
      <c r="W77" s="21"/>
      <c r="X77" s="22"/>
    </row>
    <row r="78" spans="1:24" ht="15.75" x14ac:dyDescent="0.25">
      <c r="A78" s="6" t="s">
        <v>16</v>
      </c>
      <c r="B78" s="6"/>
      <c r="C78" s="15"/>
      <c r="D78" s="15">
        <f t="shared" si="10"/>
        <v>0</v>
      </c>
      <c r="E78" s="6"/>
      <c r="F78" s="15"/>
      <c r="G78" s="15">
        <f t="shared" si="11"/>
        <v>0</v>
      </c>
      <c r="H78" s="19"/>
      <c r="I78" s="1"/>
      <c r="N78" s="6" t="s">
        <v>6</v>
      </c>
      <c r="O78" s="6">
        <v>40</v>
      </c>
      <c r="P78" s="15">
        <v>4000</v>
      </c>
      <c r="Q78" s="15">
        <f t="shared" si="9"/>
        <v>160000</v>
      </c>
      <c r="R78" s="6">
        <v>59</v>
      </c>
      <c r="S78" s="15">
        <v>4000</v>
      </c>
      <c r="T78" s="15">
        <f t="shared" si="8"/>
        <v>236000</v>
      </c>
      <c r="U78" s="15"/>
      <c r="V78" s="6"/>
      <c r="W78" s="21"/>
      <c r="X78" s="22"/>
    </row>
    <row r="79" spans="1:24" ht="15.75" x14ac:dyDescent="0.25">
      <c r="A79" s="12" t="s">
        <v>23</v>
      </c>
      <c r="B79" s="13">
        <f>SUM(B72:B78)</f>
        <v>301</v>
      </c>
      <c r="C79" s="16"/>
      <c r="D79" s="16">
        <f>SUM(D72:D78)</f>
        <v>896500</v>
      </c>
      <c r="E79" s="13">
        <f>SUM(E72:E78)</f>
        <v>80.7</v>
      </c>
      <c r="F79" s="16"/>
      <c r="G79" s="16">
        <f>SUM(G72:G78)</f>
        <v>274450</v>
      </c>
      <c r="H79" s="20"/>
      <c r="I79" s="1"/>
      <c r="N79" s="6" t="s">
        <v>4</v>
      </c>
      <c r="O79" s="6"/>
      <c r="P79" s="15">
        <v>1000</v>
      </c>
      <c r="Q79" s="15">
        <f t="shared" si="9"/>
        <v>0</v>
      </c>
      <c r="R79" s="6">
        <v>82</v>
      </c>
      <c r="S79" s="15">
        <v>1000</v>
      </c>
      <c r="T79" s="15">
        <f t="shared" si="8"/>
        <v>82000</v>
      </c>
      <c r="U79" s="15"/>
      <c r="V79" s="6"/>
      <c r="W79" s="21"/>
      <c r="X79" s="22"/>
    </row>
    <row r="80" spans="1:24" ht="15.75" x14ac:dyDescent="0.25">
      <c r="A80" s="12" t="s">
        <v>47</v>
      </c>
      <c r="B80" s="13"/>
      <c r="C80" s="13"/>
      <c r="D80" s="16">
        <v>394800</v>
      </c>
      <c r="E80" s="13"/>
      <c r="F80" s="13">
        <v>0</v>
      </c>
      <c r="G80" s="16">
        <v>1000000</v>
      </c>
      <c r="H80" s="1"/>
      <c r="I80" s="1"/>
      <c r="N80" s="6" t="s">
        <v>1</v>
      </c>
      <c r="O80" s="6"/>
      <c r="P80" s="15">
        <v>2500</v>
      </c>
      <c r="Q80" s="15">
        <f t="shared" si="9"/>
        <v>0</v>
      </c>
      <c r="R80" s="6"/>
      <c r="S80" s="15">
        <v>2500</v>
      </c>
      <c r="T80" s="15">
        <f t="shared" si="8"/>
        <v>0</v>
      </c>
      <c r="U80" s="15"/>
      <c r="V80" s="6"/>
      <c r="W80" s="21"/>
      <c r="X80" s="22"/>
    </row>
    <row r="81" spans="1:24" ht="15.75" x14ac:dyDescent="0.25">
      <c r="A81" s="12" t="s">
        <v>37</v>
      </c>
      <c r="B81" s="12"/>
      <c r="C81" s="12"/>
      <c r="D81" s="16">
        <f>D79-D80</f>
        <v>501700</v>
      </c>
      <c r="E81" s="12"/>
      <c r="F81" s="12"/>
      <c r="G81" s="16">
        <f>G79-G80</f>
        <v>-725550</v>
      </c>
      <c r="H81" s="1"/>
      <c r="I81" s="1"/>
      <c r="N81" s="6" t="s">
        <v>14</v>
      </c>
      <c r="O81" s="6"/>
      <c r="P81" s="15">
        <v>4000</v>
      </c>
      <c r="Q81" s="15">
        <f t="shared" si="9"/>
        <v>0</v>
      </c>
      <c r="R81" s="6"/>
      <c r="S81" s="15">
        <v>4000</v>
      </c>
      <c r="T81" s="15">
        <f>R81*S81</f>
        <v>0</v>
      </c>
      <c r="U81" s="15"/>
      <c r="V81" s="6"/>
      <c r="W81" s="21"/>
      <c r="X81" s="22"/>
    </row>
    <row r="82" spans="1:24" ht="15.75" x14ac:dyDescent="0.25">
      <c r="A82" s="1"/>
      <c r="B82" s="1"/>
      <c r="C82" s="1"/>
      <c r="D82" s="1"/>
      <c r="E82" s="1"/>
      <c r="F82" s="1"/>
      <c r="G82" s="1"/>
      <c r="H82" s="1"/>
      <c r="I82" s="1"/>
      <c r="N82" s="6" t="s">
        <v>13</v>
      </c>
      <c r="O82" s="6"/>
      <c r="P82" s="15">
        <v>3500</v>
      </c>
      <c r="Q82" s="15">
        <f t="shared" si="9"/>
        <v>0</v>
      </c>
      <c r="R82" s="6">
        <v>29</v>
      </c>
      <c r="S82" s="15">
        <v>3500</v>
      </c>
      <c r="T82" s="15">
        <f>R82*S82</f>
        <v>101500</v>
      </c>
      <c r="U82" s="15"/>
      <c r="V82" s="21"/>
      <c r="W82" s="21"/>
      <c r="X82" s="21"/>
    </row>
    <row r="83" spans="1:24" ht="15.75" x14ac:dyDescent="0.25">
      <c r="A83" s="1"/>
      <c r="B83" s="1"/>
      <c r="C83" s="1"/>
      <c r="D83" s="1"/>
      <c r="E83" s="1"/>
      <c r="F83" s="1"/>
      <c r="G83" s="1"/>
      <c r="H83" s="1"/>
      <c r="I83" s="1"/>
      <c r="N83" s="6" t="s">
        <v>15</v>
      </c>
      <c r="O83" s="6">
        <v>58</v>
      </c>
      <c r="P83" s="15">
        <v>2000</v>
      </c>
      <c r="Q83" s="15">
        <f t="shared" si="9"/>
        <v>116000</v>
      </c>
      <c r="R83" s="6"/>
      <c r="S83" s="15">
        <v>2000</v>
      </c>
      <c r="T83" s="15">
        <f>R83*S83</f>
        <v>0</v>
      </c>
      <c r="U83" s="15"/>
      <c r="V83" s="6" t="s">
        <v>33</v>
      </c>
      <c r="W83" s="21">
        <v>24</v>
      </c>
      <c r="X83" s="22">
        <v>48000</v>
      </c>
    </row>
    <row r="84" spans="1:24" ht="15.75" x14ac:dyDescent="0.25">
      <c r="A84" s="1"/>
      <c r="B84" s="14" t="s">
        <v>51</v>
      </c>
      <c r="C84" s="1"/>
      <c r="D84" s="14" t="s">
        <v>25</v>
      </c>
      <c r="E84" s="1"/>
      <c r="F84" s="1"/>
      <c r="G84" s="1"/>
      <c r="H84" s="1"/>
      <c r="I84" s="1"/>
      <c r="N84" s="6" t="s">
        <v>16</v>
      </c>
      <c r="O84" s="6"/>
      <c r="P84" s="15"/>
      <c r="Q84" s="15">
        <f t="shared" si="9"/>
        <v>0</v>
      </c>
      <c r="R84" s="6"/>
      <c r="S84" s="15"/>
      <c r="T84" s="15">
        <f>R84*S84</f>
        <v>0</v>
      </c>
      <c r="U84" s="15"/>
      <c r="V84" s="6"/>
      <c r="W84" s="21"/>
      <c r="X84" s="22"/>
    </row>
    <row r="85" spans="1:24" ht="15.75" x14ac:dyDescent="0.25">
      <c r="A85" s="9" t="s">
        <v>22</v>
      </c>
      <c r="B85" s="10" t="s">
        <v>17</v>
      </c>
      <c r="C85" s="2" t="s">
        <v>48</v>
      </c>
      <c r="D85" s="3"/>
      <c r="E85" s="10" t="s">
        <v>21</v>
      </c>
      <c r="F85" s="2"/>
      <c r="G85" s="3"/>
      <c r="H85" s="18"/>
      <c r="I85" s="1"/>
      <c r="N85" s="12" t="s">
        <v>36</v>
      </c>
      <c r="O85" s="13">
        <f>SUM(O68:O84)</f>
        <v>366</v>
      </c>
      <c r="P85" s="16"/>
      <c r="Q85" s="16">
        <f>SUM(Q68:Q84)</f>
        <v>1132000</v>
      </c>
      <c r="R85" s="13">
        <f>SUM(R68:R84)</f>
        <v>376</v>
      </c>
      <c r="S85" s="16"/>
      <c r="T85" s="16">
        <f>SUM(T68:T84)</f>
        <v>1087500</v>
      </c>
      <c r="U85" s="16"/>
      <c r="V85" s="6"/>
      <c r="W85" s="24">
        <f>SUM(W68:W84)</f>
        <v>147.5</v>
      </c>
      <c r="X85" s="25">
        <f>SUM(X68:X84)</f>
        <v>442000</v>
      </c>
    </row>
    <row r="86" spans="1:24" ht="15.75" x14ac:dyDescent="0.25">
      <c r="A86" s="8"/>
      <c r="B86" s="4" t="s">
        <v>18</v>
      </c>
      <c r="C86" s="8" t="s">
        <v>19</v>
      </c>
      <c r="D86" s="11" t="s">
        <v>20</v>
      </c>
      <c r="E86" s="8" t="s">
        <v>18</v>
      </c>
      <c r="F86" s="8" t="s">
        <v>19</v>
      </c>
      <c r="G86" s="11" t="s">
        <v>20</v>
      </c>
      <c r="H86" s="17"/>
      <c r="I86" s="1"/>
      <c r="N86" s="12" t="s">
        <v>35</v>
      </c>
      <c r="O86" s="13"/>
      <c r="P86" s="13"/>
      <c r="Q86" s="13"/>
      <c r="R86" s="13"/>
      <c r="S86" s="13">
        <v>0</v>
      </c>
      <c r="T86" s="13">
        <v>0</v>
      </c>
      <c r="U86" s="1"/>
      <c r="V86" s="1"/>
    </row>
    <row r="87" spans="1:24" ht="15.75" x14ac:dyDescent="0.25">
      <c r="A87" s="5" t="s">
        <v>52</v>
      </c>
      <c r="B87" s="6">
        <f>D87/C87</f>
        <v>161</v>
      </c>
      <c r="C87" s="15">
        <v>3500</v>
      </c>
      <c r="D87" s="15">
        <v>563500</v>
      </c>
      <c r="E87" s="1">
        <v>8</v>
      </c>
      <c r="F87" s="15">
        <v>3500</v>
      </c>
      <c r="G87" s="15">
        <f t="shared" ref="G87:G105" si="12">E87*F87</f>
        <v>28000</v>
      </c>
      <c r="H87" s="19"/>
      <c r="N87" s="12" t="s">
        <v>37</v>
      </c>
      <c r="O87" s="12"/>
      <c r="P87" s="12"/>
      <c r="Q87" s="16">
        <f>Q85-Q86</f>
        <v>1132000</v>
      </c>
      <c r="R87" s="16"/>
      <c r="S87" s="16"/>
      <c r="T87" s="16">
        <f>T85-T86</f>
        <v>1087500</v>
      </c>
      <c r="U87" s="1"/>
      <c r="V87" s="1"/>
    </row>
    <row r="88" spans="1:24" ht="15.75" x14ac:dyDescent="0.25">
      <c r="A88" s="6" t="s">
        <v>7</v>
      </c>
      <c r="B88" s="6">
        <f>D88/C88</f>
        <v>185</v>
      </c>
      <c r="C88" s="15">
        <v>1000</v>
      </c>
      <c r="D88" s="15">
        <v>185000</v>
      </c>
      <c r="E88" s="6"/>
      <c r="F88" s="15">
        <v>1000</v>
      </c>
      <c r="G88" s="15">
        <f t="shared" si="12"/>
        <v>0</v>
      </c>
      <c r="H88" s="19"/>
      <c r="N88" s="1"/>
      <c r="O88" s="1"/>
      <c r="P88" s="1"/>
      <c r="Q88" s="1"/>
      <c r="R88" s="1"/>
      <c r="S88" s="1"/>
      <c r="T88" s="1"/>
      <c r="U88" s="1"/>
      <c r="V88" s="1"/>
    </row>
    <row r="89" spans="1:24" ht="15.75" x14ac:dyDescent="0.25">
      <c r="A89" s="6" t="s">
        <v>9</v>
      </c>
      <c r="B89" s="6">
        <v>155</v>
      </c>
      <c r="C89" s="15">
        <v>3500</v>
      </c>
      <c r="D89" s="15">
        <f>B89*C89</f>
        <v>542500</v>
      </c>
      <c r="E89" s="6"/>
      <c r="F89" s="15">
        <v>3500</v>
      </c>
      <c r="G89" s="15">
        <f t="shared" si="12"/>
        <v>0</v>
      </c>
      <c r="H89" s="19"/>
      <c r="N89" s="1"/>
      <c r="O89" s="1"/>
      <c r="P89" s="1"/>
      <c r="Q89" s="1"/>
      <c r="R89" s="1"/>
      <c r="S89" s="1"/>
      <c r="T89" s="1"/>
      <c r="U89" s="1"/>
      <c r="V89" s="1"/>
    </row>
    <row r="90" spans="1:24" ht="15.75" x14ac:dyDescent="0.25">
      <c r="A90" s="6" t="s">
        <v>5</v>
      </c>
      <c r="B90" s="6">
        <f>D90/C90</f>
        <v>98</v>
      </c>
      <c r="C90" s="15">
        <v>3500</v>
      </c>
      <c r="D90" s="15">
        <v>343000</v>
      </c>
      <c r="E90" s="6">
        <v>32</v>
      </c>
      <c r="F90" s="15">
        <v>3500</v>
      </c>
      <c r="G90" s="15">
        <f t="shared" si="12"/>
        <v>112000</v>
      </c>
      <c r="H90" s="19"/>
    </row>
    <row r="91" spans="1:24" ht="15.75" x14ac:dyDescent="0.25">
      <c r="A91" s="6" t="s">
        <v>3</v>
      </c>
      <c r="B91" s="6">
        <f>D91/C91</f>
        <v>56</v>
      </c>
      <c r="C91" s="15">
        <v>3500</v>
      </c>
      <c r="D91" s="15">
        <v>196000</v>
      </c>
      <c r="E91" s="6">
        <v>72</v>
      </c>
      <c r="F91" s="15">
        <v>3500</v>
      </c>
      <c r="G91" s="15">
        <f t="shared" si="12"/>
        <v>252000</v>
      </c>
      <c r="H91" s="19"/>
    </row>
    <row r="92" spans="1:24" ht="15.75" x14ac:dyDescent="0.25">
      <c r="A92" s="6" t="s">
        <v>12</v>
      </c>
      <c r="B92" s="6">
        <f>D92/C92</f>
        <v>156</v>
      </c>
      <c r="C92" s="15">
        <v>1000</v>
      </c>
      <c r="D92" s="15">
        <v>156000</v>
      </c>
      <c r="E92" s="6">
        <v>156</v>
      </c>
      <c r="F92" s="15">
        <v>1000</v>
      </c>
      <c r="G92" s="15">
        <f t="shared" si="12"/>
        <v>156000</v>
      </c>
      <c r="H92" s="19"/>
    </row>
    <row r="93" spans="1:24" ht="15.75" x14ac:dyDescent="0.25">
      <c r="A93" s="6" t="s">
        <v>2</v>
      </c>
      <c r="B93" s="6"/>
      <c r="C93" s="15">
        <v>3000</v>
      </c>
      <c r="D93" s="15">
        <f t="shared" ref="D93:D99" si="13">B93*C93</f>
        <v>0</v>
      </c>
      <c r="E93" s="6"/>
      <c r="F93" s="15">
        <v>3000</v>
      </c>
      <c r="G93" s="15">
        <f t="shared" si="12"/>
        <v>0</v>
      </c>
      <c r="H93" s="19"/>
    </row>
    <row r="94" spans="1:24" ht="15.75" x14ac:dyDescent="0.25">
      <c r="A94" s="6" t="s">
        <v>10</v>
      </c>
      <c r="B94" s="6">
        <f>D94/C94</f>
        <v>122</v>
      </c>
      <c r="C94" s="15">
        <v>2500</v>
      </c>
      <c r="D94" s="15">
        <v>305000</v>
      </c>
      <c r="E94" s="6"/>
      <c r="F94" s="15"/>
      <c r="G94" s="15">
        <f t="shared" si="12"/>
        <v>0</v>
      </c>
      <c r="H94" s="19"/>
    </row>
    <row r="95" spans="1:24" ht="15.75" x14ac:dyDescent="0.25">
      <c r="A95" s="6" t="s">
        <v>11</v>
      </c>
      <c r="B95" s="6">
        <v>81</v>
      </c>
      <c r="C95" s="15">
        <v>3000</v>
      </c>
      <c r="D95" s="15">
        <f>B95*C95</f>
        <v>243000</v>
      </c>
      <c r="E95" s="6">
        <v>40</v>
      </c>
      <c r="F95" s="15">
        <v>3000</v>
      </c>
      <c r="G95" s="15">
        <f t="shared" si="12"/>
        <v>120000</v>
      </c>
      <c r="H95" s="19"/>
    </row>
    <row r="96" spans="1:24" ht="15.75" x14ac:dyDescent="0.25">
      <c r="A96" s="6" t="s">
        <v>8</v>
      </c>
      <c r="B96" s="6">
        <f>D96/C96</f>
        <v>8</v>
      </c>
      <c r="C96" s="15">
        <v>4000</v>
      </c>
      <c r="D96" s="15">
        <v>32000</v>
      </c>
      <c r="E96" s="6"/>
      <c r="F96" s="15">
        <v>4000</v>
      </c>
      <c r="G96" s="15">
        <f t="shared" si="12"/>
        <v>0</v>
      </c>
      <c r="H96" s="19"/>
    </row>
    <row r="97" spans="1:8" ht="15.75" x14ac:dyDescent="0.25">
      <c r="A97" s="6" t="s">
        <v>6</v>
      </c>
      <c r="B97" s="6">
        <f>D97/C97</f>
        <v>98</v>
      </c>
      <c r="C97" s="15">
        <v>4000</v>
      </c>
      <c r="D97" s="15">
        <v>392000</v>
      </c>
      <c r="E97" s="6">
        <v>48</v>
      </c>
      <c r="F97" s="15">
        <v>4000</v>
      </c>
      <c r="G97" s="15">
        <f t="shared" si="12"/>
        <v>192000</v>
      </c>
      <c r="H97" s="19"/>
    </row>
    <row r="98" spans="1:8" ht="15.75" x14ac:dyDescent="0.25">
      <c r="A98" s="6" t="s">
        <v>4</v>
      </c>
      <c r="B98" s="6">
        <f>D98/C98</f>
        <v>120</v>
      </c>
      <c r="C98" s="15">
        <v>1000</v>
      </c>
      <c r="D98" s="15">
        <v>120000</v>
      </c>
      <c r="E98" s="6">
        <v>56</v>
      </c>
      <c r="F98" s="15">
        <v>1000</v>
      </c>
      <c r="G98" s="15">
        <f t="shared" si="12"/>
        <v>56000</v>
      </c>
      <c r="H98" s="19"/>
    </row>
    <row r="99" spans="1:8" ht="15.75" x14ac:dyDescent="0.25">
      <c r="A99" s="6" t="s">
        <v>1</v>
      </c>
      <c r="B99" s="6"/>
      <c r="C99" s="15">
        <v>2500</v>
      </c>
      <c r="D99" s="15">
        <f t="shared" si="13"/>
        <v>0</v>
      </c>
      <c r="E99" s="6">
        <v>64</v>
      </c>
      <c r="F99" s="15">
        <v>2500</v>
      </c>
      <c r="G99" s="15">
        <f t="shared" si="12"/>
        <v>160000</v>
      </c>
      <c r="H99" s="19"/>
    </row>
    <row r="100" spans="1:8" ht="15.75" x14ac:dyDescent="0.25">
      <c r="A100" s="5">
        <v>887</v>
      </c>
      <c r="B100" s="6">
        <f>D100/C100</f>
        <v>68</v>
      </c>
      <c r="C100" s="15">
        <v>3000</v>
      </c>
      <c r="D100" s="15">
        <v>204000</v>
      </c>
      <c r="E100" s="6"/>
      <c r="F100" s="15">
        <v>3000</v>
      </c>
      <c r="G100" s="15">
        <f t="shared" si="12"/>
        <v>0</v>
      </c>
      <c r="H100" s="19"/>
    </row>
    <row r="101" spans="1:8" ht="15.75" x14ac:dyDescent="0.25">
      <c r="A101" s="5" t="s">
        <v>53</v>
      </c>
      <c r="B101" s="6">
        <f>D101/C101</f>
        <v>76.7</v>
      </c>
      <c r="C101" s="15">
        <v>2000</v>
      </c>
      <c r="D101" s="15">
        <v>153400</v>
      </c>
      <c r="E101" s="6"/>
      <c r="F101" s="15"/>
      <c r="G101" s="15">
        <f t="shared" si="12"/>
        <v>0</v>
      </c>
      <c r="H101" s="19"/>
    </row>
    <row r="102" spans="1:8" ht="15.75" x14ac:dyDescent="0.25">
      <c r="A102" s="5" t="s">
        <v>54</v>
      </c>
      <c r="B102" s="6">
        <f>D102/C102</f>
        <v>22</v>
      </c>
      <c r="C102" s="15">
        <v>3500</v>
      </c>
      <c r="D102" s="15">
        <v>77000</v>
      </c>
      <c r="E102" s="6"/>
      <c r="F102" s="15"/>
      <c r="G102" s="15">
        <f t="shared" si="12"/>
        <v>0</v>
      </c>
      <c r="H102" s="19"/>
    </row>
    <row r="103" spans="1:8" ht="15.75" x14ac:dyDescent="0.25">
      <c r="A103" s="5" t="s">
        <v>55</v>
      </c>
      <c r="B103" s="6">
        <v>93</v>
      </c>
      <c r="C103" s="15"/>
      <c r="D103" s="15"/>
      <c r="E103" s="6"/>
      <c r="F103" s="15"/>
      <c r="G103" s="15">
        <f t="shared" si="12"/>
        <v>0</v>
      </c>
      <c r="H103" s="19"/>
    </row>
    <row r="104" spans="1:8" ht="15.75" x14ac:dyDescent="0.25">
      <c r="A104" s="5" t="s">
        <v>56</v>
      </c>
      <c r="B104" s="6">
        <v>14</v>
      </c>
      <c r="C104" s="15"/>
      <c r="D104" s="15"/>
      <c r="E104" s="6"/>
      <c r="F104" s="15"/>
      <c r="G104" s="15">
        <f t="shared" si="12"/>
        <v>0</v>
      </c>
      <c r="H104" s="19"/>
    </row>
    <row r="105" spans="1:8" ht="15.75" x14ac:dyDescent="0.25">
      <c r="A105" s="5" t="s">
        <v>57</v>
      </c>
      <c r="B105" s="6">
        <v>72</v>
      </c>
      <c r="C105" s="15"/>
      <c r="D105" s="15"/>
      <c r="E105" s="6"/>
      <c r="F105" s="15"/>
      <c r="G105" s="15">
        <f t="shared" si="12"/>
        <v>0</v>
      </c>
      <c r="H105" s="19"/>
    </row>
    <row r="106" spans="1:8" ht="15.75" x14ac:dyDescent="0.25">
      <c r="A106" s="12" t="s">
        <v>36</v>
      </c>
      <c r="B106" s="13">
        <f>SUM(B87:B105)</f>
        <v>1585.7</v>
      </c>
      <c r="C106" s="16"/>
      <c r="D106" s="13">
        <f>SUM(D87:D105)</f>
        <v>3512400</v>
      </c>
      <c r="E106" s="13">
        <f>SUM(E87:E105)</f>
        <v>476</v>
      </c>
      <c r="F106" s="16"/>
      <c r="G106" s="13">
        <f>SUM(G87:G105)</f>
        <v>1076000</v>
      </c>
      <c r="H106" s="20"/>
    </row>
    <row r="107" spans="1:8" ht="15.75" x14ac:dyDescent="0.25">
      <c r="A107" s="12" t="s">
        <v>35</v>
      </c>
      <c r="B107" s="13"/>
      <c r="C107" s="13"/>
      <c r="D107" s="16"/>
      <c r="E107" s="13"/>
      <c r="F107" s="13"/>
      <c r="G107" s="16">
        <v>0</v>
      </c>
      <c r="H107" s="1"/>
    </row>
    <row r="108" spans="1:8" ht="15.75" x14ac:dyDescent="0.25">
      <c r="A108" s="12" t="s">
        <v>23</v>
      </c>
      <c r="B108" s="12"/>
      <c r="C108" s="12"/>
      <c r="D108" s="16"/>
      <c r="E108" s="12"/>
      <c r="F108" s="12"/>
      <c r="G108" s="16">
        <f>G106-G107</f>
        <v>1076000</v>
      </c>
      <c r="H108" s="1"/>
    </row>
    <row r="109" spans="1:8" ht="15.75" x14ac:dyDescent="0.25">
      <c r="A109" s="1"/>
      <c r="B109" s="1"/>
      <c r="C109" s="1"/>
      <c r="D109" s="1"/>
      <c r="E109" s="1"/>
      <c r="F109" s="1"/>
      <c r="G109" s="1"/>
      <c r="H109" s="1"/>
    </row>
  </sheetData>
  <mergeCells count="3">
    <mergeCell ref="I26:K26"/>
    <mergeCell ref="V42:X42"/>
    <mergeCell ref="V67:X67"/>
  </mergeCells>
  <pageMargins left="0.70866141732283472" right="0.70866141732283472" top="0.35433070866141736" bottom="0.35433070866141736" header="0" footer="0"/>
  <pageSetup paperSize="9" scale="32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6"/>
  <sheetViews>
    <sheetView workbookViewId="0">
      <selection activeCell="P28" sqref="P28"/>
    </sheetView>
  </sheetViews>
  <sheetFormatPr defaultRowHeight="15" x14ac:dyDescent="0.25"/>
  <cols>
    <col min="1" max="1" width="2.85546875" customWidth="1"/>
    <col min="2" max="2" width="23.85546875" customWidth="1"/>
    <col min="3" max="3" width="13.85546875" customWidth="1"/>
    <col min="4" max="4" width="20.28515625" customWidth="1"/>
    <col min="5" max="6" width="13.85546875" customWidth="1"/>
    <col min="7" max="7" width="1" customWidth="1"/>
    <col min="8" max="8" width="14.7109375" customWidth="1"/>
    <col min="9" max="9" width="13.85546875" customWidth="1"/>
    <col min="10" max="10" width="22" customWidth="1"/>
    <col min="11" max="12" width="13.85546875" customWidth="1"/>
    <col min="13" max="13" width="1" customWidth="1"/>
    <col min="14" max="14" width="14.7109375" customWidth="1"/>
    <col min="15" max="15" width="13.85546875" customWidth="1"/>
    <col min="16" max="16" width="20.85546875" customWidth="1"/>
    <col min="17" max="17" width="13.85546875" customWidth="1"/>
  </cols>
  <sheetData>
    <row r="1" spans="2:17" x14ac:dyDescent="0.25">
      <c r="F1">
        <v>6750000</v>
      </c>
    </row>
    <row r="2" spans="2:17" ht="15.75" x14ac:dyDescent="0.25">
      <c r="B2" s="1"/>
      <c r="C2" s="72" t="s">
        <v>59</v>
      </c>
      <c r="D2" s="72"/>
      <c r="E2" s="72"/>
      <c r="F2" s="58">
        <f>C6+I6+E6+K6+O6+Q6</f>
        <v>8457800</v>
      </c>
      <c r="G2" s="42"/>
      <c r="H2" s="1"/>
      <c r="I2" s="72" t="s">
        <v>67</v>
      </c>
      <c r="J2" s="72"/>
      <c r="K2" s="72"/>
      <c r="L2" s="52"/>
      <c r="M2" s="1"/>
      <c r="N2" s="1"/>
      <c r="O2" s="72" t="s">
        <v>77</v>
      </c>
      <c r="P2" s="72"/>
      <c r="Q2" s="72"/>
    </row>
    <row r="3" spans="2:17" ht="15.75" x14ac:dyDescent="0.25">
      <c r="B3" s="18"/>
      <c r="C3" s="43" t="s">
        <v>17</v>
      </c>
      <c r="D3" s="43"/>
      <c r="E3" s="43" t="s">
        <v>21</v>
      </c>
      <c r="F3" s="53">
        <f>F1/F2</f>
        <v>0.79807987892832655</v>
      </c>
      <c r="G3" s="18"/>
      <c r="H3" s="18"/>
      <c r="I3" s="43" t="s">
        <v>17</v>
      </c>
      <c r="J3" s="43"/>
      <c r="K3" s="43" t="s">
        <v>21</v>
      </c>
      <c r="L3" s="53"/>
      <c r="M3" s="18"/>
      <c r="N3" s="18"/>
      <c r="O3" s="43" t="s">
        <v>17</v>
      </c>
      <c r="P3" s="43"/>
      <c r="Q3" s="43" t="s">
        <v>21</v>
      </c>
    </row>
    <row r="4" spans="2:17" ht="15.75" x14ac:dyDescent="0.25">
      <c r="B4" s="12" t="s">
        <v>63</v>
      </c>
      <c r="C4" s="15">
        <f>'01.26'!N26</f>
        <v>2311075</v>
      </c>
      <c r="D4" s="15"/>
      <c r="E4" s="15">
        <f>'01.26'!Q25</f>
        <v>28000</v>
      </c>
      <c r="F4" s="19"/>
      <c r="G4" s="20"/>
      <c r="H4" s="12" t="s">
        <v>63</v>
      </c>
      <c r="I4" s="15">
        <f>'02.26'!M26</f>
        <v>2114200</v>
      </c>
      <c r="J4" s="15"/>
      <c r="K4" s="15">
        <f>'02.26'!P26</f>
        <v>302400</v>
      </c>
      <c r="L4" s="19"/>
      <c r="M4" s="17"/>
      <c r="N4" s="12" t="s">
        <v>63</v>
      </c>
      <c r="O4" s="15">
        <f>'03.26 (изм)'!O29</f>
        <v>1020375</v>
      </c>
      <c r="P4" s="15"/>
      <c r="Q4" s="15">
        <f>'03.26 (изм)'!R28</f>
        <v>389500</v>
      </c>
    </row>
    <row r="5" spans="2:17" ht="15.75" x14ac:dyDescent="0.25">
      <c r="B5" s="46" t="s">
        <v>86</v>
      </c>
      <c r="C5" s="45">
        <f>'01.26'!N27</f>
        <v>1150500</v>
      </c>
      <c r="D5" s="45"/>
      <c r="E5" s="15">
        <f>'01.26'!Q27</f>
        <v>0</v>
      </c>
      <c r="F5" s="19"/>
      <c r="G5" s="19"/>
      <c r="H5" s="46" t="s">
        <v>86</v>
      </c>
      <c r="I5" s="15">
        <f>'02.26'!M27</f>
        <v>1268500</v>
      </c>
      <c r="J5" s="15"/>
      <c r="K5" s="15">
        <f>'02.26'!P27</f>
        <v>0</v>
      </c>
      <c r="L5" s="19"/>
      <c r="M5" s="19"/>
      <c r="N5" s="46" t="s">
        <v>86</v>
      </c>
      <c r="O5" s="15">
        <f>'03.26 (изм)'!O30</f>
        <v>49750</v>
      </c>
      <c r="P5" s="15"/>
      <c r="Q5" s="15">
        <f>'03.26 (изм)'!R30</f>
        <v>-176500</v>
      </c>
    </row>
    <row r="6" spans="2:17" ht="15.75" x14ac:dyDescent="0.25">
      <c r="B6" s="12" t="s">
        <v>36</v>
      </c>
      <c r="C6" s="16">
        <f>C4+C5</f>
        <v>3461575</v>
      </c>
      <c r="D6" s="16"/>
      <c r="E6" s="16">
        <f>E4+E5</f>
        <v>28000</v>
      </c>
      <c r="F6" s="20"/>
      <c r="G6" s="20"/>
      <c r="H6" s="12" t="s">
        <v>36</v>
      </c>
      <c r="I6" s="16">
        <f>I4+I5</f>
        <v>3382700</v>
      </c>
      <c r="J6" s="16"/>
      <c r="K6" s="16">
        <f>K4+K5</f>
        <v>302400</v>
      </c>
      <c r="L6" s="20"/>
      <c r="M6" s="19"/>
      <c r="N6" s="12" t="s">
        <v>36</v>
      </c>
      <c r="O6" s="16">
        <f>O4+O5</f>
        <v>1070125</v>
      </c>
      <c r="P6" s="16"/>
      <c r="Q6" s="16">
        <f>Q4+Q5</f>
        <v>213000</v>
      </c>
    </row>
    <row r="7" spans="2:17" ht="15.75" x14ac:dyDescent="0.25">
      <c r="B7" s="18"/>
      <c r="C7" s="73" t="s">
        <v>87</v>
      </c>
      <c r="D7" s="73"/>
      <c r="E7" s="73"/>
      <c r="F7" s="54"/>
      <c r="G7" s="19"/>
      <c r="H7" s="18"/>
      <c r="I7" s="73" t="s">
        <v>87</v>
      </c>
      <c r="J7" s="73"/>
      <c r="K7" s="73"/>
      <c r="L7" s="54"/>
      <c r="M7" s="19"/>
      <c r="N7" s="18"/>
      <c r="O7" s="73" t="s">
        <v>87</v>
      </c>
      <c r="P7" s="73"/>
      <c r="Q7" s="73"/>
    </row>
    <row r="8" spans="2:17" ht="15.75" x14ac:dyDescent="0.25">
      <c r="B8" s="44" t="s">
        <v>95</v>
      </c>
      <c r="C8" s="50">
        <v>160000</v>
      </c>
      <c r="D8" s="44" t="s">
        <v>99</v>
      </c>
      <c r="E8" s="50">
        <v>50000</v>
      </c>
      <c r="F8" s="51"/>
      <c r="G8" s="51"/>
      <c r="H8" s="44"/>
      <c r="I8" s="50"/>
      <c r="J8" s="44" t="s">
        <v>100</v>
      </c>
      <c r="K8" s="50">
        <v>100000</v>
      </c>
      <c r="L8" s="51"/>
      <c r="M8" s="51"/>
      <c r="N8" s="44"/>
      <c r="O8" s="50"/>
      <c r="P8" s="44" t="s">
        <v>102</v>
      </c>
      <c r="Q8" s="50">
        <v>119560</v>
      </c>
    </row>
    <row r="9" spans="2:17" ht="15.75" x14ac:dyDescent="0.25">
      <c r="B9" s="44" t="s">
        <v>96</v>
      </c>
      <c r="C9" s="15">
        <v>10000</v>
      </c>
      <c r="D9" s="18"/>
      <c r="E9" s="15"/>
      <c r="F9" s="19"/>
      <c r="G9" s="19"/>
      <c r="H9" s="44"/>
      <c r="I9" s="15"/>
      <c r="J9" s="44" t="s">
        <v>101</v>
      </c>
      <c r="K9" s="15">
        <v>200450</v>
      </c>
      <c r="L9" s="19"/>
      <c r="M9" s="19"/>
      <c r="N9" s="44"/>
      <c r="O9" s="15"/>
      <c r="P9" s="44" t="s">
        <v>103</v>
      </c>
      <c r="Q9" s="15">
        <v>350450</v>
      </c>
    </row>
    <row r="10" spans="2:17" ht="15.75" x14ac:dyDescent="0.25">
      <c r="B10" s="44" t="s">
        <v>97</v>
      </c>
      <c r="C10" s="15">
        <v>10000</v>
      </c>
      <c r="D10" s="15"/>
      <c r="E10" s="15"/>
      <c r="F10" s="19"/>
      <c r="G10" s="19"/>
      <c r="H10" s="44"/>
      <c r="I10" s="15"/>
      <c r="J10" s="44"/>
      <c r="K10" s="15"/>
      <c r="L10" s="19"/>
      <c r="M10" s="19"/>
      <c r="N10" s="44"/>
      <c r="O10" s="15"/>
      <c r="P10" s="44"/>
      <c r="Q10" s="15"/>
    </row>
    <row r="11" spans="2:17" ht="15.75" x14ac:dyDescent="0.25">
      <c r="B11" s="44" t="s">
        <v>98</v>
      </c>
      <c r="C11" s="15">
        <v>500000</v>
      </c>
      <c r="D11" s="15"/>
      <c r="E11" s="15"/>
      <c r="F11" s="19"/>
      <c r="G11" s="19"/>
      <c r="H11" s="44"/>
      <c r="I11" s="15"/>
      <c r="J11" s="44"/>
      <c r="K11" s="15"/>
      <c r="L11" s="19"/>
      <c r="M11" s="19"/>
      <c r="N11" s="44"/>
      <c r="O11" s="15"/>
      <c r="P11" s="44"/>
      <c r="Q11" s="15"/>
    </row>
    <row r="12" spans="2:17" ht="15.75" x14ac:dyDescent="0.25">
      <c r="B12" s="44" t="s">
        <v>104</v>
      </c>
      <c r="C12" s="15">
        <v>200000</v>
      </c>
      <c r="D12" s="15"/>
      <c r="E12" s="15"/>
      <c r="F12" s="19"/>
      <c r="G12" s="19"/>
      <c r="H12" s="44"/>
      <c r="I12" s="15"/>
      <c r="J12" s="15"/>
      <c r="K12" s="15"/>
      <c r="L12" s="19"/>
      <c r="M12" s="19"/>
      <c r="N12" s="44"/>
      <c r="O12" s="15"/>
      <c r="P12" s="15"/>
      <c r="Q12" s="15"/>
    </row>
    <row r="13" spans="2:17" ht="15.75" x14ac:dyDescent="0.25">
      <c r="B13" s="44" t="s">
        <v>105</v>
      </c>
      <c r="C13" s="15">
        <v>50000</v>
      </c>
      <c r="D13" s="15"/>
      <c r="E13" s="15"/>
      <c r="F13" s="19"/>
      <c r="G13" s="19"/>
      <c r="H13" s="44"/>
      <c r="I13" s="15"/>
      <c r="J13" s="15"/>
      <c r="K13" s="15"/>
      <c r="L13" s="19"/>
      <c r="M13" s="19"/>
      <c r="N13" s="44"/>
      <c r="O13" s="15"/>
      <c r="P13" s="15"/>
      <c r="Q13" s="15"/>
    </row>
    <row r="14" spans="2:17" ht="15.75" x14ac:dyDescent="0.25">
      <c r="B14" s="44" t="s">
        <v>106</v>
      </c>
      <c r="C14" s="15">
        <v>600000</v>
      </c>
      <c r="D14" s="15"/>
      <c r="E14" s="15"/>
      <c r="F14" s="19"/>
      <c r="G14" s="19"/>
      <c r="H14" s="44"/>
      <c r="I14" s="15"/>
      <c r="J14" s="15"/>
      <c r="K14" s="15"/>
      <c r="L14" s="19"/>
      <c r="M14" s="19"/>
      <c r="N14" s="44"/>
      <c r="O14" s="15"/>
      <c r="P14" s="15"/>
      <c r="Q14" s="15"/>
    </row>
    <row r="15" spans="2:17" ht="15.75" x14ac:dyDescent="0.25">
      <c r="B15" s="44"/>
      <c r="C15" s="15"/>
      <c r="D15" s="15"/>
      <c r="E15" s="15"/>
      <c r="F15" s="19"/>
      <c r="G15" s="19"/>
      <c r="H15" s="44"/>
      <c r="I15" s="15"/>
      <c r="J15" s="15"/>
      <c r="K15" s="15"/>
      <c r="L15" s="19"/>
      <c r="M15" s="19"/>
      <c r="N15" s="44"/>
      <c r="O15" s="15"/>
      <c r="P15" s="15"/>
      <c r="Q15" s="15"/>
    </row>
    <row r="16" spans="2:17" ht="15.75" x14ac:dyDescent="0.25">
      <c r="B16" s="44"/>
      <c r="C16" s="15"/>
      <c r="D16" s="15"/>
      <c r="E16" s="15"/>
      <c r="F16" s="19"/>
      <c r="G16" s="19"/>
      <c r="H16" s="44"/>
      <c r="I16" s="15"/>
      <c r="J16" s="15"/>
      <c r="K16" s="15"/>
      <c r="L16" s="19"/>
      <c r="M16" s="19"/>
      <c r="N16" s="44"/>
      <c r="O16" s="15"/>
      <c r="P16" s="15"/>
      <c r="Q16" s="15"/>
    </row>
    <row r="17" spans="2:17" ht="15.75" x14ac:dyDescent="0.25">
      <c r="B17" s="12" t="s">
        <v>36</v>
      </c>
      <c r="C17" s="16">
        <f>SUM(C8:C16)</f>
        <v>1530000</v>
      </c>
      <c r="D17" s="16"/>
      <c r="E17" s="16">
        <f>SUM(E8:E16)</f>
        <v>50000</v>
      </c>
      <c r="F17" s="20"/>
      <c r="G17" s="20"/>
      <c r="H17" s="12" t="s">
        <v>36</v>
      </c>
      <c r="I17" s="16">
        <f>SUM(I8:I16)</f>
        <v>0</v>
      </c>
      <c r="J17" s="16"/>
      <c r="K17" s="16">
        <f>SUM(K8:K16)</f>
        <v>300450</v>
      </c>
      <c r="L17" s="20"/>
      <c r="M17" s="19"/>
      <c r="N17" s="12" t="s">
        <v>36</v>
      </c>
      <c r="O17" s="16">
        <f>SUM(O8:O16)</f>
        <v>0</v>
      </c>
      <c r="P17" s="16"/>
      <c r="Q17" s="16">
        <f>SUM(Q8:Q16)</f>
        <v>470010</v>
      </c>
    </row>
    <row r="18" spans="2:17" ht="15.75" x14ac:dyDescent="0.25">
      <c r="B18" s="18"/>
      <c r="C18" s="19"/>
      <c r="D18" s="19"/>
      <c r="E18" s="19"/>
      <c r="F18" s="19"/>
      <c r="G18" s="19"/>
      <c r="H18" s="18"/>
      <c r="I18" s="19"/>
      <c r="J18" s="19"/>
      <c r="K18" s="19"/>
      <c r="L18" s="19"/>
      <c r="M18" s="19"/>
      <c r="N18" s="18"/>
      <c r="O18" s="19"/>
      <c r="P18" s="19"/>
      <c r="Q18" s="19"/>
    </row>
    <row r="19" spans="2:17" ht="15.75" x14ac:dyDescent="0.25">
      <c r="B19" s="47" t="s">
        <v>88</v>
      </c>
      <c r="C19" s="48">
        <f>C6-C17</f>
        <v>1931575</v>
      </c>
      <c r="D19" s="48"/>
      <c r="E19" s="48">
        <f>E6-E17</f>
        <v>-22000</v>
      </c>
      <c r="F19" s="55"/>
      <c r="G19" s="20"/>
      <c r="H19" s="47" t="s">
        <v>88</v>
      </c>
      <c r="I19" s="49">
        <f>I6-I17</f>
        <v>3382700</v>
      </c>
      <c r="J19" s="49"/>
      <c r="K19" s="49">
        <f>K6-K17</f>
        <v>1950</v>
      </c>
      <c r="L19" s="56"/>
      <c r="M19" s="19"/>
      <c r="N19" s="47" t="s">
        <v>88</v>
      </c>
      <c r="O19" s="49">
        <f>O6-O17</f>
        <v>1070125</v>
      </c>
      <c r="P19" s="49"/>
      <c r="Q19" s="49">
        <f>Q6-Q17</f>
        <v>-257010</v>
      </c>
    </row>
    <row r="20" spans="2:17" ht="15.75" x14ac:dyDescent="0.25">
      <c r="B20" s="18"/>
      <c r="C20" s="40"/>
      <c r="D20" s="40"/>
      <c r="E20" s="19"/>
      <c r="F20" s="19"/>
      <c r="G20" s="19"/>
      <c r="H20" s="18"/>
      <c r="I20" s="18"/>
      <c r="J20" s="18"/>
      <c r="K20" s="19"/>
      <c r="L20" s="19"/>
      <c r="M20" s="19"/>
      <c r="N20" s="18"/>
      <c r="O20" s="18"/>
      <c r="P20" s="18"/>
      <c r="Q20" s="19"/>
    </row>
    <row r="21" spans="2:17" ht="15.75" x14ac:dyDescent="0.25">
      <c r="B21" s="47" t="s">
        <v>107</v>
      </c>
      <c r="C21" s="48">
        <f>C19+I19+O19</f>
        <v>6384400</v>
      </c>
      <c r="D21" s="48"/>
      <c r="E21" s="48">
        <f>E19+K19+Q19</f>
        <v>-277060</v>
      </c>
      <c r="F21" s="55"/>
      <c r="G21" s="20"/>
      <c r="H21" s="57"/>
      <c r="I21" s="56"/>
      <c r="J21" s="56"/>
      <c r="K21" s="56"/>
      <c r="L21" s="56"/>
      <c r="M21" s="19"/>
      <c r="N21" s="57"/>
      <c r="O21" s="56"/>
      <c r="P21" s="56"/>
      <c r="Q21" s="56"/>
    </row>
    <row r="22" spans="2:17" ht="15.75" x14ac:dyDescent="0.25">
      <c r="B22" s="18"/>
      <c r="C22" s="40"/>
      <c r="D22" s="40"/>
      <c r="E22" s="19"/>
      <c r="F22" s="19"/>
      <c r="G22" s="19"/>
      <c r="H22" s="18"/>
      <c r="I22" s="18"/>
      <c r="J22" s="18"/>
      <c r="K22" s="19"/>
      <c r="L22" s="19"/>
      <c r="M22" s="19"/>
      <c r="N22" s="18"/>
      <c r="O22" s="18"/>
      <c r="P22" s="18"/>
      <c r="Q22" s="19"/>
    </row>
    <row r="23" spans="2:17" ht="15.75" x14ac:dyDescent="0.25">
      <c r="B23" s="18" t="s">
        <v>89</v>
      </c>
      <c r="C23" s="19">
        <v>2289075</v>
      </c>
      <c r="D23" s="40" t="s">
        <v>90</v>
      </c>
      <c r="E23" s="19">
        <v>28000</v>
      </c>
      <c r="F23" s="19"/>
      <c r="G23" s="19"/>
      <c r="H23" s="18" t="s">
        <v>91</v>
      </c>
      <c r="I23" s="19">
        <v>2964740</v>
      </c>
      <c r="J23" s="18" t="s">
        <v>92</v>
      </c>
      <c r="K23" s="19">
        <v>119560</v>
      </c>
      <c r="L23" s="19"/>
      <c r="M23" s="19"/>
      <c r="N23" s="18" t="s">
        <v>93</v>
      </c>
      <c r="O23" s="19">
        <v>2940000</v>
      </c>
      <c r="P23" s="18" t="s">
        <v>94</v>
      </c>
      <c r="Q23" s="19">
        <v>960000</v>
      </c>
    </row>
    <row r="24" spans="2:17" ht="15.75" x14ac:dyDescent="0.25">
      <c r="B24" s="18"/>
      <c r="C24" s="40"/>
      <c r="D24" s="40"/>
      <c r="E24" s="19"/>
      <c r="F24" s="19"/>
      <c r="G24" s="19"/>
      <c r="H24" s="18"/>
      <c r="I24" s="18"/>
      <c r="J24" s="18"/>
      <c r="K24" s="19"/>
      <c r="L24" s="19"/>
      <c r="M24" s="19"/>
      <c r="N24" s="18"/>
      <c r="O24" s="18"/>
      <c r="P24" s="18"/>
      <c r="Q24" s="19"/>
    </row>
    <row r="25" spans="2:17" ht="15.75" x14ac:dyDescent="0.25">
      <c r="B25" s="39"/>
      <c r="C25" s="40"/>
      <c r="D25" s="40"/>
      <c r="E25" s="19"/>
      <c r="F25" s="19"/>
      <c r="G25" s="19"/>
      <c r="H25" s="39"/>
      <c r="I25" s="18"/>
      <c r="J25" s="18"/>
      <c r="K25" s="19"/>
      <c r="L25" s="19"/>
      <c r="M25" s="19"/>
      <c r="N25" s="39"/>
      <c r="O25" s="18"/>
      <c r="P25" s="18"/>
      <c r="Q25" s="19"/>
    </row>
    <row r="26" spans="2:17" ht="15.75" x14ac:dyDescent="0.25">
      <c r="B26" s="39"/>
      <c r="C26" s="40"/>
      <c r="D26" s="40"/>
      <c r="E26" s="19"/>
      <c r="F26" s="19"/>
      <c r="G26" s="19"/>
      <c r="H26" s="39"/>
      <c r="I26" s="18"/>
      <c r="J26" s="18"/>
      <c r="K26" s="19"/>
      <c r="L26" s="19"/>
      <c r="M26" s="19"/>
      <c r="N26" s="39"/>
      <c r="O26" s="18"/>
      <c r="P26" s="18"/>
      <c r="Q26" s="19"/>
    </row>
    <row r="27" spans="2:17" ht="15.75" x14ac:dyDescent="0.25">
      <c r="B27" s="39"/>
      <c r="C27" s="40"/>
      <c r="D27" s="40"/>
      <c r="E27" s="19"/>
      <c r="F27" s="19"/>
      <c r="G27" s="19"/>
      <c r="H27" s="39"/>
      <c r="I27" s="18"/>
      <c r="J27" s="18"/>
      <c r="K27" s="19"/>
      <c r="L27" s="19"/>
      <c r="M27" s="19"/>
      <c r="N27" s="39"/>
      <c r="O27" s="18"/>
      <c r="P27" s="18"/>
      <c r="Q27" s="19"/>
    </row>
    <row r="28" spans="2:17" ht="15.75" x14ac:dyDescent="0.25">
      <c r="B28" s="39"/>
      <c r="C28" s="40"/>
      <c r="D28" s="40"/>
      <c r="E28" s="19"/>
      <c r="F28" s="19"/>
      <c r="G28" s="19"/>
      <c r="H28" s="39"/>
      <c r="I28" s="18"/>
      <c r="J28" s="18"/>
      <c r="K28" s="19"/>
      <c r="L28" s="19"/>
      <c r="M28" s="19"/>
      <c r="N28" s="39"/>
      <c r="O28" s="18"/>
      <c r="P28" s="18"/>
      <c r="Q28" s="19"/>
    </row>
    <row r="29" spans="2:17" ht="15.75" x14ac:dyDescent="0.25">
      <c r="B29" s="39"/>
      <c r="C29" s="40"/>
      <c r="D29" s="40"/>
      <c r="E29" s="19"/>
      <c r="F29" s="19"/>
      <c r="G29" s="19"/>
      <c r="H29" s="39"/>
      <c r="I29" s="18"/>
      <c r="J29" s="18"/>
      <c r="K29" s="19"/>
      <c r="L29" s="19"/>
      <c r="M29" s="19"/>
      <c r="N29" s="39"/>
      <c r="O29" s="18"/>
      <c r="P29" s="18"/>
      <c r="Q29" s="19"/>
    </row>
    <row r="30" spans="2:17" ht="15.75" x14ac:dyDescent="0.25">
      <c r="B30" s="39"/>
      <c r="C30" s="40"/>
      <c r="D30" s="40"/>
      <c r="E30" s="19"/>
      <c r="F30" s="19"/>
      <c r="G30" s="19"/>
      <c r="H30" s="39"/>
      <c r="I30" s="18"/>
      <c r="J30" s="18"/>
      <c r="K30" s="19"/>
      <c r="L30" s="19"/>
      <c r="M30" s="19"/>
      <c r="N30" s="39"/>
      <c r="O30" s="18"/>
      <c r="P30" s="18"/>
      <c r="Q30" s="19"/>
    </row>
    <row r="31" spans="2:17" ht="15.75" x14ac:dyDescent="0.25">
      <c r="B31" s="17"/>
      <c r="C31" s="41"/>
      <c r="D31" s="41"/>
      <c r="E31" s="20"/>
      <c r="F31" s="20"/>
      <c r="G31" s="20"/>
      <c r="H31" s="17"/>
      <c r="I31" s="41"/>
      <c r="J31" s="41"/>
      <c r="K31" s="20"/>
      <c r="L31" s="20"/>
      <c r="M31" s="20"/>
      <c r="N31" s="17"/>
      <c r="O31" s="41"/>
      <c r="P31" s="41"/>
      <c r="Q31" s="20"/>
    </row>
    <row r="32" spans="2:17" ht="15.75" x14ac:dyDescent="0.25">
      <c r="B32" s="17"/>
      <c r="C32" s="41"/>
      <c r="D32" s="41"/>
      <c r="E32" s="41"/>
      <c r="F32" s="41"/>
      <c r="G32" s="20"/>
      <c r="H32" s="17"/>
      <c r="I32" s="41"/>
      <c r="J32" s="41"/>
      <c r="K32" s="41"/>
      <c r="L32" s="41"/>
      <c r="M32" s="20"/>
      <c r="N32" s="17"/>
      <c r="O32" s="41"/>
      <c r="P32" s="41"/>
      <c r="Q32" s="41"/>
    </row>
    <row r="33" spans="2:17" ht="15.75" x14ac:dyDescent="0.25">
      <c r="B33" s="17"/>
      <c r="C33" s="41"/>
      <c r="D33" s="41"/>
      <c r="E33" s="17"/>
      <c r="F33" s="17"/>
      <c r="G33" s="20"/>
      <c r="H33" s="17"/>
      <c r="I33" s="41"/>
      <c r="J33" s="41"/>
      <c r="K33" s="17"/>
      <c r="L33" s="17"/>
      <c r="M33" s="41"/>
      <c r="N33" s="17"/>
      <c r="O33" s="41"/>
      <c r="P33" s="41"/>
      <c r="Q33" s="17"/>
    </row>
    <row r="34" spans="2:17" x14ac:dyDescent="0.25"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</row>
    <row r="35" spans="2:17" x14ac:dyDescent="0.25"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</row>
    <row r="36" spans="2:17" x14ac:dyDescent="0.25"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</row>
  </sheetData>
  <mergeCells count="6">
    <mergeCell ref="C2:E2"/>
    <mergeCell ref="C7:E7"/>
    <mergeCell ref="I2:K2"/>
    <mergeCell ref="I7:K7"/>
    <mergeCell ref="O2:Q2"/>
    <mergeCell ref="O7:Q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Y61"/>
  <sheetViews>
    <sheetView zoomScale="85" zoomScaleNormal="85" workbookViewId="0">
      <selection activeCell="T33" sqref="T33"/>
    </sheetView>
  </sheetViews>
  <sheetFormatPr defaultRowHeight="15" x14ac:dyDescent="0.25"/>
  <cols>
    <col min="1" max="1" width="27.5703125" customWidth="1"/>
    <col min="4" max="4" width="15.85546875" customWidth="1"/>
    <col min="7" max="7" width="12.42578125" customWidth="1"/>
    <col min="11" max="11" width="30.85546875" customWidth="1"/>
    <col min="12" max="12" width="10.42578125" customWidth="1"/>
    <col min="14" max="14" width="14" customWidth="1"/>
    <col min="17" max="17" width="12.42578125" customWidth="1"/>
    <col min="18" max="18" width="11.140625" customWidth="1"/>
    <col min="20" max="20" width="13.5703125" customWidth="1"/>
  </cols>
  <sheetData>
    <row r="2" spans="1:25" ht="15.75" x14ac:dyDescent="0.25">
      <c r="A2" s="1"/>
      <c r="B2" s="14" t="s">
        <v>59</v>
      </c>
      <c r="C2" s="1"/>
      <c r="D2" s="14" t="s">
        <v>25</v>
      </c>
      <c r="E2" s="14" t="s">
        <v>63</v>
      </c>
      <c r="F2" s="1"/>
      <c r="G2" s="1"/>
      <c r="H2" s="1"/>
      <c r="K2" s="1"/>
      <c r="L2" s="35" t="s">
        <v>59</v>
      </c>
      <c r="M2" s="1"/>
      <c r="N2" s="14" t="s">
        <v>25</v>
      </c>
      <c r="O2" s="1"/>
      <c r="P2" s="1"/>
      <c r="Q2" s="1"/>
      <c r="R2" s="14"/>
      <c r="S2" s="1"/>
      <c r="T2" s="1"/>
    </row>
    <row r="3" spans="1:25" ht="15.75" x14ac:dyDescent="0.25">
      <c r="A3" s="9" t="s">
        <v>22</v>
      </c>
      <c r="B3" s="10" t="s">
        <v>17</v>
      </c>
      <c r="C3" s="2" t="s">
        <v>50</v>
      </c>
      <c r="D3" s="3"/>
      <c r="E3" s="10" t="s">
        <v>21</v>
      </c>
      <c r="F3" s="2"/>
      <c r="G3" s="3"/>
      <c r="H3" s="18"/>
      <c r="K3" s="9" t="s">
        <v>22</v>
      </c>
      <c r="L3" s="10" t="s">
        <v>17</v>
      </c>
      <c r="M3" s="2" t="s">
        <v>50</v>
      </c>
      <c r="N3" s="3"/>
      <c r="O3" s="10" t="s">
        <v>21</v>
      </c>
      <c r="P3" s="2"/>
      <c r="Q3" s="3"/>
      <c r="R3" s="10" t="s">
        <v>17</v>
      </c>
      <c r="S3" s="2" t="s">
        <v>48</v>
      </c>
      <c r="T3" s="3"/>
    </row>
    <row r="4" spans="1:25" ht="15.75" x14ac:dyDescent="0.25">
      <c r="A4" s="8"/>
      <c r="B4" s="4" t="s">
        <v>18</v>
      </c>
      <c r="C4" s="8" t="s">
        <v>19</v>
      </c>
      <c r="D4" s="11" t="s">
        <v>20</v>
      </c>
      <c r="E4" s="8" t="s">
        <v>18</v>
      </c>
      <c r="F4" s="8" t="s">
        <v>19</v>
      </c>
      <c r="G4" s="11" t="s">
        <v>20</v>
      </c>
      <c r="H4" s="17"/>
      <c r="K4" s="8"/>
      <c r="L4" s="4" t="s">
        <v>18</v>
      </c>
      <c r="M4" s="8" t="s">
        <v>19</v>
      </c>
      <c r="N4" s="11" t="s">
        <v>20</v>
      </c>
      <c r="O4" s="8" t="s">
        <v>18</v>
      </c>
      <c r="P4" s="8" t="s">
        <v>19</v>
      </c>
      <c r="Q4" s="11" t="s">
        <v>20</v>
      </c>
      <c r="R4" s="8" t="s">
        <v>18</v>
      </c>
      <c r="S4" s="8" t="s">
        <v>19</v>
      </c>
      <c r="T4" s="11" t="s">
        <v>20</v>
      </c>
    </row>
    <row r="5" spans="1:25" ht="15.75" x14ac:dyDescent="0.25">
      <c r="A5" s="5" t="s">
        <v>52</v>
      </c>
      <c r="B5" s="33">
        <v>96</v>
      </c>
      <c r="C5" s="45">
        <f>$W$5</f>
        <v>1750</v>
      </c>
      <c r="D5" s="15">
        <f>B5*C5</f>
        <v>168000</v>
      </c>
      <c r="E5" s="1">
        <v>8</v>
      </c>
      <c r="F5" s="45">
        <f>$W$5</f>
        <v>1750</v>
      </c>
      <c r="G5" s="15">
        <f t="shared" ref="G5:G27" si="0">E5*F5</f>
        <v>14000</v>
      </c>
      <c r="H5" s="19"/>
      <c r="K5" s="5" t="s">
        <v>52</v>
      </c>
      <c r="L5" s="67">
        <v>96</v>
      </c>
      <c r="M5" s="45">
        <f>$W$5</f>
        <v>1750</v>
      </c>
      <c r="N5" s="15">
        <f>L5*M5</f>
        <v>168000</v>
      </c>
      <c r="O5" s="1">
        <v>8</v>
      </c>
      <c r="P5" s="45">
        <f>$W$5</f>
        <v>1750</v>
      </c>
      <c r="Q5" s="15">
        <f t="shared" ref="Q5:Q27" si="1">O5*P5</f>
        <v>14000</v>
      </c>
      <c r="R5" s="1"/>
      <c r="S5" s="45">
        <f>$W$5</f>
        <v>1750</v>
      </c>
      <c r="T5" s="15">
        <f t="shared" ref="T5:T27" si="2">R5*S5</f>
        <v>0</v>
      </c>
      <c r="W5" s="45">
        <f>X5</f>
        <v>1750</v>
      </c>
      <c r="X5" s="45">
        <f>Y5/2</f>
        <v>1750</v>
      </c>
      <c r="Y5" s="45">
        <v>3500</v>
      </c>
    </row>
    <row r="6" spans="1:25" ht="15.75" x14ac:dyDescent="0.25">
      <c r="A6" s="6" t="s">
        <v>7</v>
      </c>
      <c r="B6" s="34">
        <v>143</v>
      </c>
      <c r="C6" s="45">
        <f>$W$6</f>
        <v>500</v>
      </c>
      <c r="D6" s="15">
        <f t="shared" ref="D6:D24" si="3">B6*C6</f>
        <v>71500</v>
      </c>
      <c r="E6" s="6"/>
      <c r="F6" s="45">
        <f>$W$6</f>
        <v>500</v>
      </c>
      <c r="G6" s="15">
        <f t="shared" si="0"/>
        <v>0</v>
      </c>
      <c r="H6" s="19"/>
      <c r="K6" s="6" t="s">
        <v>7</v>
      </c>
      <c r="L6" s="66">
        <v>143</v>
      </c>
      <c r="M6" s="45">
        <f>$W$6</f>
        <v>500</v>
      </c>
      <c r="N6" s="15">
        <f t="shared" ref="N6:N24" si="4">L6*M6</f>
        <v>71500</v>
      </c>
      <c r="O6" s="6"/>
      <c r="P6" s="45">
        <f>$W$6</f>
        <v>500</v>
      </c>
      <c r="Q6" s="15">
        <f t="shared" si="1"/>
        <v>0</v>
      </c>
      <c r="R6" s="6"/>
      <c r="S6" s="45">
        <f>$W$6</f>
        <v>500</v>
      </c>
      <c r="T6" s="15">
        <f t="shared" si="2"/>
        <v>0</v>
      </c>
      <c r="W6" s="45">
        <f t="shared" ref="W6:W24" si="5">X6</f>
        <v>500</v>
      </c>
      <c r="X6" s="45">
        <f t="shared" ref="X6:X24" si="6">Y6/2</f>
        <v>500</v>
      </c>
      <c r="Y6" s="45">
        <v>1000</v>
      </c>
    </row>
    <row r="7" spans="1:25" ht="15.75" x14ac:dyDescent="0.25">
      <c r="A7" s="6" t="s">
        <v>9</v>
      </c>
      <c r="B7" s="34">
        <v>88.45</v>
      </c>
      <c r="C7" s="45">
        <f>$W$7</f>
        <v>1750</v>
      </c>
      <c r="D7" s="15">
        <f t="shared" si="3"/>
        <v>154787.5</v>
      </c>
      <c r="E7" s="6"/>
      <c r="F7" s="45">
        <f>$W$7</f>
        <v>1750</v>
      </c>
      <c r="G7" s="15">
        <f t="shared" si="0"/>
        <v>0</v>
      </c>
      <c r="H7" s="19"/>
      <c r="K7" s="6" t="s">
        <v>9</v>
      </c>
      <c r="L7" s="66">
        <v>88.45</v>
      </c>
      <c r="M7" s="45">
        <f>$W$7</f>
        <v>1750</v>
      </c>
      <c r="N7" s="15">
        <f t="shared" si="4"/>
        <v>154787.5</v>
      </c>
      <c r="O7" s="6"/>
      <c r="P7" s="45">
        <f>$W$7</f>
        <v>1750</v>
      </c>
      <c r="Q7" s="15">
        <f t="shared" si="1"/>
        <v>0</v>
      </c>
      <c r="R7" s="6"/>
      <c r="S7" s="45">
        <f>$W$7</f>
        <v>1750</v>
      </c>
      <c r="T7" s="15">
        <f t="shared" si="2"/>
        <v>0</v>
      </c>
      <c r="W7" s="45">
        <f t="shared" si="5"/>
        <v>1750</v>
      </c>
      <c r="X7" s="45">
        <f t="shared" si="6"/>
        <v>1750</v>
      </c>
      <c r="Y7" s="45">
        <v>3500</v>
      </c>
    </row>
    <row r="8" spans="1:25" ht="15.75" x14ac:dyDescent="0.25">
      <c r="A8" s="6" t="s">
        <v>5</v>
      </c>
      <c r="B8" s="34">
        <v>112</v>
      </c>
      <c r="C8" s="45">
        <f>$W$8</f>
        <v>1750</v>
      </c>
      <c r="D8" s="15">
        <f t="shared" si="3"/>
        <v>196000</v>
      </c>
      <c r="E8" s="6"/>
      <c r="F8" s="45">
        <f>$W$8</f>
        <v>1750</v>
      </c>
      <c r="G8" s="15">
        <f t="shared" si="0"/>
        <v>0</v>
      </c>
      <c r="H8" s="19"/>
      <c r="K8" s="6" t="s">
        <v>5</v>
      </c>
      <c r="L8" s="61">
        <f>112-R8</f>
        <v>76</v>
      </c>
      <c r="M8" s="45">
        <f>$W$8</f>
        <v>1750</v>
      </c>
      <c r="N8" s="15">
        <f t="shared" si="4"/>
        <v>133000</v>
      </c>
      <c r="O8" s="6"/>
      <c r="P8" s="45">
        <f>$W$8</f>
        <v>1750</v>
      </c>
      <c r="Q8" s="15">
        <f t="shared" si="1"/>
        <v>0</v>
      </c>
      <c r="R8" s="60">
        <v>36</v>
      </c>
      <c r="S8" s="45">
        <f>$W$8</f>
        <v>1750</v>
      </c>
      <c r="T8" s="15">
        <f t="shared" si="2"/>
        <v>63000</v>
      </c>
      <c r="W8" s="45">
        <f t="shared" si="5"/>
        <v>1750</v>
      </c>
      <c r="X8" s="45">
        <f t="shared" si="6"/>
        <v>1750</v>
      </c>
      <c r="Y8" s="45">
        <v>3500</v>
      </c>
    </row>
    <row r="9" spans="1:25" ht="15.75" x14ac:dyDescent="0.25">
      <c r="A9" s="6" t="s">
        <v>3</v>
      </c>
      <c r="B9" s="34">
        <v>27</v>
      </c>
      <c r="C9" s="45">
        <f>$W$9</f>
        <v>1750</v>
      </c>
      <c r="D9" s="15">
        <f t="shared" si="3"/>
        <v>47250</v>
      </c>
      <c r="E9" s="6"/>
      <c r="F9" s="45">
        <f>$W$9</f>
        <v>1750</v>
      </c>
      <c r="G9" s="15">
        <f t="shared" si="0"/>
        <v>0</v>
      </c>
      <c r="H9" s="19"/>
      <c r="K9" s="6" t="s">
        <v>3</v>
      </c>
      <c r="L9" s="66">
        <v>27</v>
      </c>
      <c r="M9" s="45">
        <f>$W$9</f>
        <v>1750</v>
      </c>
      <c r="N9" s="15">
        <f t="shared" si="4"/>
        <v>47250</v>
      </c>
      <c r="O9" s="6"/>
      <c r="P9" s="45">
        <f>$W$9</f>
        <v>1750</v>
      </c>
      <c r="Q9" s="15">
        <f t="shared" si="1"/>
        <v>0</v>
      </c>
      <c r="R9" s="6"/>
      <c r="S9" s="45">
        <f>$W$9</f>
        <v>1750</v>
      </c>
      <c r="T9" s="15">
        <f t="shared" si="2"/>
        <v>0</v>
      </c>
      <c r="W9" s="45">
        <f t="shared" si="5"/>
        <v>1750</v>
      </c>
      <c r="X9" s="45">
        <f t="shared" si="6"/>
        <v>1750</v>
      </c>
      <c r="Y9" s="45">
        <v>3500</v>
      </c>
    </row>
    <row r="10" spans="1:25" ht="15.75" x14ac:dyDescent="0.25">
      <c r="A10" s="6" t="s">
        <v>12</v>
      </c>
      <c r="B10" s="34">
        <v>24</v>
      </c>
      <c r="C10" s="45">
        <f>$W$10</f>
        <v>500</v>
      </c>
      <c r="D10" s="15">
        <f t="shared" si="3"/>
        <v>12000</v>
      </c>
      <c r="E10" s="6"/>
      <c r="F10" s="45">
        <f>$W$10</f>
        <v>500</v>
      </c>
      <c r="G10" s="15">
        <f t="shared" si="0"/>
        <v>0</v>
      </c>
      <c r="H10" s="19"/>
      <c r="K10" s="6" t="s">
        <v>12</v>
      </c>
      <c r="L10" s="66">
        <v>24</v>
      </c>
      <c r="M10" s="45">
        <f>$W$10</f>
        <v>500</v>
      </c>
      <c r="N10" s="15">
        <f t="shared" si="4"/>
        <v>12000</v>
      </c>
      <c r="O10" s="6"/>
      <c r="P10" s="45">
        <f>$W$10</f>
        <v>500</v>
      </c>
      <c r="Q10" s="15">
        <f t="shared" si="1"/>
        <v>0</v>
      </c>
      <c r="R10" s="6"/>
      <c r="S10" s="45">
        <f>$W$10</f>
        <v>500</v>
      </c>
      <c r="T10" s="15">
        <f t="shared" si="2"/>
        <v>0</v>
      </c>
      <c r="W10" s="45">
        <f t="shared" si="5"/>
        <v>500</v>
      </c>
      <c r="X10" s="45">
        <f t="shared" si="6"/>
        <v>500</v>
      </c>
      <c r="Y10" s="45">
        <v>1000</v>
      </c>
    </row>
    <row r="11" spans="1:25" ht="15.75" x14ac:dyDescent="0.25">
      <c r="A11" s="5" t="s">
        <v>60</v>
      </c>
      <c r="B11" s="34">
        <v>8</v>
      </c>
      <c r="C11" s="45">
        <f>$W$11</f>
        <v>500</v>
      </c>
      <c r="D11" s="15">
        <f t="shared" si="3"/>
        <v>4000</v>
      </c>
      <c r="E11" s="6"/>
      <c r="F11" s="45">
        <f>$W$11</f>
        <v>500</v>
      </c>
      <c r="G11" s="15">
        <f t="shared" si="0"/>
        <v>0</v>
      </c>
      <c r="H11" s="19"/>
      <c r="K11" s="5" t="s">
        <v>60</v>
      </c>
      <c r="L11" s="66">
        <v>8</v>
      </c>
      <c r="M11" s="45">
        <f>$W$11</f>
        <v>500</v>
      </c>
      <c r="N11" s="15">
        <f t="shared" si="4"/>
        <v>4000</v>
      </c>
      <c r="O11" s="6"/>
      <c r="P11" s="45">
        <f>$W$11</f>
        <v>500</v>
      </c>
      <c r="Q11" s="15">
        <f t="shared" si="1"/>
        <v>0</v>
      </c>
      <c r="R11" s="6"/>
      <c r="S11" s="45">
        <f>$W$11</f>
        <v>500</v>
      </c>
      <c r="T11" s="15">
        <f t="shared" si="2"/>
        <v>0</v>
      </c>
      <c r="W11" s="45">
        <f t="shared" si="5"/>
        <v>500</v>
      </c>
      <c r="X11" s="45">
        <f t="shared" si="6"/>
        <v>500</v>
      </c>
      <c r="Y11" s="45">
        <v>1000</v>
      </c>
    </row>
    <row r="12" spans="1:25" ht="15.75" x14ac:dyDescent="0.25">
      <c r="A12" s="5" t="s">
        <v>61</v>
      </c>
      <c r="B12" s="34">
        <v>8</v>
      </c>
      <c r="C12" s="45">
        <f>$W$12</f>
        <v>500</v>
      </c>
      <c r="D12" s="15">
        <f t="shared" si="3"/>
        <v>4000</v>
      </c>
      <c r="E12" s="6"/>
      <c r="F12" s="45">
        <f>$W$12</f>
        <v>500</v>
      </c>
      <c r="G12" s="15">
        <f t="shared" si="0"/>
        <v>0</v>
      </c>
      <c r="H12" s="19"/>
      <c r="K12" s="5" t="s">
        <v>61</v>
      </c>
      <c r="L12" s="66">
        <v>8</v>
      </c>
      <c r="M12" s="45">
        <f>$W$12</f>
        <v>500</v>
      </c>
      <c r="N12" s="15">
        <f t="shared" si="4"/>
        <v>4000</v>
      </c>
      <c r="O12" s="6"/>
      <c r="P12" s="45">
        <f>$W$12</f>
        <v>500</v>
      </c>
      <c r="Q12" s="15">
        <f t="shared" si="1"/>
        <v>0</v>
      </c>
      <c r="R12" s="6"/>
      <c r="S12" s="45">
        <f>$W$12</f>
        <v>500</v>
      </c>
      <c r="T12" s="15">
        <f t="shared" si="2"/>
        <v>0</v>
      </c>
      <c r="W12" s="45">
        <f t="shared" si="5"/>
        <v>500</v>
      </c>
      <c r="X12" s="45">
        <f t="shared" si="6"/>
        <v>500</v>
      </c>
      <c r="Y12" s="45">
        <v>1000</v>
      </c>
    </row>
    <row r="13" spans="1:25" ht="15.75" x14ac:dyDescent="0.25">
      <c r="A13" s="6" t="s">
        <v>2</v>
      </c>
      <c r="B13" s="34"/>
      <c r="C13" s="45">
        <f>$W$13</f>
        <v>1750</v>
      </c>
      <c r="D13" s="15">
        <f t="shared" si="3"/>
        <v>0</v>
      </c>
      <c r="E13" s="6"/>
      <c r="F13" s="45">
        <f>$W$13</f>
        <v>1750</v>
      </c>
      <c r="G13" s="15">
        <f t="shared" si="0"/>
        <v>0</v>
      </c>
      <c r="H13" s="19"/>
      <c r="K13" s="6" t="s">
        <v>2</v>
      </c>
      <c r="L13" s="66"/>
      <c r="M13" s="45">
        <f>$W$13</f>
        <v>1750</v>
      </c>
      <c r="N13" s="15">
        <f t="shared" si="4"/>
        <v>0</v>
      </c>
      <c r="O13" s="6"/>
      <c r="P13" s="45">
        <f>$W$13</f>
        <v>1750</v>
      </c>
      <c r="Q13" s="15">
        <f t="shared" si="1"/>
        <v>0</v>
      </c>
      <c r="R13" s="44"/>
      <c r="S13" s="45">
        <f>$W$13</f>
        <v>1750</v>
      </c>
      <c r="T13" s="15">
        <f t="shared" si="2"/>
        <v>0</v>
      </c>
      <c r="W13" s="45">
        <f t="shared" si="5"/>
        <v>1750</v>
      </c>
      <c r="X13" s="45">
        <f t="shared" si="6"/>
        <v>1750</v>
      </c>
      <c r="Y13" s="45">
        <v>3500</v>
      </c>
    </row>
    <row r="14" spans="1:25" ht="15.75" x14ac:dyDescent="0.25">
      <c r="A14" s="6" t="s">
        <v>10</v>
      </c>
      <c r="B14" s="34">
        <v>96.5</v>
      </c>
      <c r="C14" s="45">
        <f>$W$14</f>
        <v>1250</v>
      </c>
      <c r="D14" s="15">
        <f t="shared" si="3"/>
        <v>120625</v>
      </c>
      <c r="E14" s="6"/>
      <c r="F14" s="45">
        <f>$W$14</f>
        <v>1250</v>
      </c>
      <c r="G14" s="15">
        <f t="shared" si="0"/>
        <v>0</v>
      </c>
      <c r="H14" s="19"/>
      <c r="K14" s="6" t="s">
        <v>10</v>
      </c>
      <c r="L14" s="66">
        <v>96.5</v>
      </c>
      <c r="M14" s="45">
        <f>$W$14</f>
        <v>1250</v>
      </c>
      <c r="N14" s="15">
        <f t="shared" si="4"/>
        <v>120625</v>
      </c>
      <c r="O14" s="6"/>
      <c r="P14" s="45">
        <f>$W$14</f>
        <v>1250</v>
      </c>
      <c r="Q14" s="15">
        <f t="shared" si="1"/>
        <v>0</v>
      </c>
      <c r="R14" s="44"/>
      <c r="S14" s="45">
        <f>$W$14</f>
        <v>1250</v>
      </c>
      <c r="T14" s="15">
        <f t="shared" si="2"/>
        <v>0</v>
      </c>
      <c r="W14" s="45">
        <f t="shared" si="5"/>
        <v>1250</v>
      </c>
      <c r="X14" s="45">
        <f t="shared" si="6"/>
        <v>1250</v>
      </c>
      <c r="Y14" s="45">
        <v>2500</v>
      </c>
    </row>
    <row r="15" spans="1:25" ht="15.75" x14ac:dyDescent="0.25">
      <c r="A15" s="5" t="s">
        <v>81</v>
      </c>
      <c r="B15" s="34"/>
      <c r="C15" s="45">
        <f>$W$15</f>
        <v>500</v>
      </c>
      <c r="D15" s="45">
        <f t="shared" si="3"/>
        <v>0</v>
      </c>
      <c r="E15" s="44"/>
      <c r="F15" s="45">
        <f>$W$15</f>
        <v>500</v>
      </c>
      <c r="G15" s="15">
        <f t="shared" si="0"/>
        <v>0</v>
      </c>
      <c r="H15" s="19"/>
      <c r="K15" s="5" t="s">
        <v>81</v>
      </c>
      <c r="L15" s="66"/>
      <c r="M15" s="45">
        <f>$W$15</f>
        <v>500</v>
      </c>
      <c r="N15" s="45">
        <f t="shared" si="4"/>
        <v>0</v>
      </c>
      <c r="O15" s="44"/>
      <c r="P15" s="45">
        <f>$W$15</f>
        <v>500</v>
      </c>
      <c r="Q15" s="15">
        <f t="shared" si="1"/>
        <v>0</v>
      </c>
      <c r="R15" s="44"/>
      <c r="S15" s="45">
        <f>$W$15</f>
        <v>500</v>
      </c>
      <c r="T15" s="15">
        <f t="shared" si="2"/>
        <v>0</v>
      </c>
      <c r="W15" s="45">
        <f t="shared" si="5"/>
        <v>500</v>
      </c>
      <c r="X15" s="45">
        <f t="shared" si="6"/>
        <v>500</v>
      </c>
      <c r="Y15" s="45">
        <v>1000</v>
      </c>
    </row>
    <row r="16" spans="1:25" ht="15.75" x14ac:dyDescent="0.25">
      <c r="A16" s="6" t="s">
        <v>11</v>
      </c>
      <c r="B16" s="34">
        <v>44</v>
      </c>
      <c r="C16" s="45">
        <f>$W$16</f>
        <v>1750</v>
      </c>
      <c r="D16" s="15">
        <f t="shared" si="3"/>
        <v>77000</v>
      </c>
      <c r="E16" s="6"/>
      <c r="F16" s="45">
        <f>$W$16</f>
        <v>1750</v>
      </c>
      <c r="G16" s="15">
        <f t="shared" si="0"/>
        <v>0</v>
      </c>
      <c r="H16" s="19"/>
      <c r="K16" s="6" t="s">
        <v>11</v>
      </c>
      <c r="L16" s="66">
        <v>44</v>
      </c>
      <c r="M16" s="45">
        <f>$W$16</f>
        <v>1750</v>
      </c>
      <c r="N16" s="15">
        <f t="shared" si="4"/>
        <v>77000</v>
      </c>
      <c r="O16" s="6"/>
      <c r="P16" s="45">
        <f>$W$16</f>
        <v>1750</v>
      </c>
      <c r="Q16" s="15">
        <f t="shared" si="1"/>
        <v>0</v>
      </c>
      <c r="R16" s="44"/>
      <c r="S16" s="45">
        <f>$W$16</f>
        <v>1750</v>
      </c>
      <c r="T16" s="15">
        <f t="shared" si="2"/>
        <v>0</v>
      </c>
      <c r="W16" s="45">
        <f t="shared" si="5"/>
        <v>1750</v>
      </c>
      <c r="X16" s="45">
        <f t="shared" si="6"/>
        <v>1750</v>
      </c>
      <c r="Y16" s="45">
        <v>3500</v>
      </c>
    </row>
    <row r="17" spans="1:25" ht="15.75" x14ac:dyDescent="0.25">
      <c r="A17" s="6" t="s">
        <v>8</v>
      </c>
      <c r="B17" s="34">
        <v>25</v>
      </c>
      <c r="C17" s="45">
        <f>$W$17</f>
        <v>2000</v>
      </c>
      <c r="D17" s="15">
        <f t="shared" si="3"/>
        <v>50000</v>
      </c>
      <c r="E17" s="6"/>
      <c r="F17" s="45">
        <f>$W$17</f>
        <v>2000</v>
      </c>
      <c r="G17" s="15">
        <f t="shared" si="0"/>
        <v>0</v>
      </c>
      <c r="H17" s="19"/>
      <c r="K17" s="6" t="s">
        <v>8</v>
      </c>
      <c r="L17" s="66">
        <v>25</v>
      </c>
      <c r="M17" s="45">
        <f>$W$17</f>
        <v>2000</v>
      </c>
      <c r="N17" s="15">
        <f t="shared" si="4"/>
        <v>50000</v>
      </c>
      <c r="O17" s="6"/>
      <c r="P17" s="45">
        <f>$W$17</f>
        <v>2000</v>
      </c>
      <c r="Q17" s="15">
        <f t="shared" si="1"/>
        <v>0</v>
      </c>
      <c r="R17" s="44"/>
      <c r="S17" s="45">
        <f>$W$17</f>
        <v>2000</v>
      </c>
      <c r="T17" s="15">
        <f t="shared" si="2"/>
        <v>0</v>
      </c>
      <c r="W17" s="45">
        <f t="shared" si="5"/>
        <v>2000</v>
      </c>
      <c r="X17" s="45">
        <f t="shared" si="6"/>
        <v>2000</v>
      </c>
      <c r="Y17" s="45">
        <v>4000</v>
      </c>
    </row>
    <row r="18" spans="1:25" ht="15.75" x14ac:dyDescent="0.25">
      <c r="A18" s="6" t="s">
        <v>6</v>
      </c>
      <c r="B18" s="34"/>
      <c r="C18" s="45">
        <f>$W$18</f>
        <v>2000</v>
      </c>
      <c r="D18" s="15">
        <f t="shared" si="3"/>
        <v>0</v>
      </c>
      <c r="E18" s="6"/>
      <c r="F18" s="45">
        <f>$W$18</f>
        <v>2000</v>
      </c>
      <c r="G18" s="15">
        <f t="shared" si="0"/>
        <v>0</v>
      </c>
      <c r="H18" s="19"/>
      <c r="K18" s="6" t="s">
        <v>6</v>
      </c>
      <c r="L18" s="66"/>
      <c r="M18" s="45">
        <f>$W$18</f>
        <v>2000</v>
      </c>
      <c r="N18" s="15">
        <f t="shared" si="4"/>
        <v>0</v>
      </c>
      <c r="O18" s="6"/>
      <c r="P18" s="45">
        <f>$W$18</f>
        <v>2000</v>
      </c>
      <c r="Q18" s="15">
        <f t="shared" si="1"/>
        <v>0</v>
      </c>
      <c r="R18" s="44"/>
      <c r="S18" s="45">
        <f>$W$18</f>
        <v>2000</v>
      </c>
      <c r="T18" s="15">
        <f t="shared" si="2"/>
        <v>0</v>
      </c>
      <c r="W18" s="45">
        <f t="shared" si="5"/>
        <v>2000</v>
      </c>
      <c r="X18" s="45">
        <f t="shared" si="6"/>
        <v>2000</v>
      </c>
      <c r="Y18" s="45">
        <v>4000</v>
      </c>
    </row>
    <row r="19" spans="1:25" ht="15.75" x14ac:dyDescent="0.25">
      <c r="A19" s="6" t="s">
        <v>4</v>
      </c>
      <c r="B19" s="34">
        <v>139</v>
      </c>
      <c r="C19" s="45">
        <f>$W$19</f>
        <v>500</v>
      </c>
      <c r="D19" s="15">
        <f t="shared" si="3"/>
        <v>69500</v>
      </c>
      <c r="E19" s="6"/>
      <c r="F19" s="45">
        <f>$W$19</f>
        <v>500</v>
      </c>
      <c r="G19" s="15">
        <f t="shared" si="0"/>
        <v>0</v>
      </c>
      <c r="H19" s="19"/>
      <c r="K19" s="6" t="s">
        <v>4</v>
      </c>
      <c r="L19" s="66">
        <v>139</v>
      </c>
      <c r="M19" s="45">
        <f>$W$19</f>
        <v>500</v>
      </c>
      <c r="N19" s="15">
        <f t="shared" si="4"/>
        <v>69500</v>
      </c>
      <c r="O19" s="6"/>
      <c r="P19" s="45">
        <f>$W$19</f>
        <v>500</v>
      </c>
      <c r="Q19" s="15">
        <f t="shared" si="1"/>
        <v>0</v>
      </c>
      <c r="R19" s="44"/>
      <c r="S19" s="45">
        <f>$W$19</f>
        <v>500</v>
      </c>
      <c r="T19" s="15">
        <f t="shared" si="2"/>
        <v>0</v>
      </c>
      <c r="W19" s="45">
        <f t="shared" si="5"/>
        <v>500</v>
      </c>
      <c r="X19" s="45">
        <f t="shared" si="6"/>
        <v>500</v>
      </c>
      <c r="Y19" s="45">
        <v>1000</v>
      </c>
    </row>
    <row r="20" spans="1:25" ht="15.75" x14ac:dyDescent="0.25">
      <c r="A20" s="6" t="s">
        <v>1</v>
      </c>
      <c r="B20" s="34">
        <v>48</v>
      </c>
      <c r="C20" s="45">
        <f>$W$20</f>
        <v>1250</v>
      </c>
      <c r="D20" s="15">
        <f t="shared" si="3"/>
        <v>60000</v>
      </c>
      <c r="E20" s="6"/>
      <c r="F20" s="45">
        <f>$W$20</f>
        <v>1250</v>
      </c>
      <c r="G20" s="15">
        <f t="shared" si="0"/>
        <v>0</v>
      </c>
      <c r="H20" s="19"/>
      <c r="K20" s="6" t="s">
        <v>1</v>
      </c>
      <c r="L20" s="66">
        <f>48-R20</f>
        <v>24</v>
      </c>
      <c r="M20" s="45">
        <f>$W$20</f>
        <v>1250</v>
      </c>
      <c r="N20" s="15">
        <f t="shared" si="4"/>
        <v>30000</v>
      </c>
      <c r="O20" s="6"/>
      <c r="P20" s="45">
        <f>$W$20</f>
        <v>1250</v>
      </c>
      <c r="Q20" s="15">
        <f t="shared" si="1"/>
        <v>0</v>
      </c>
      <c r="R20" s="64">
        <v>24</v>
      </c>
      <c r="S20" s="45">
        <f>$W$20</f>
        <v>1250</v>
      </c>
      <c r="T20" s="15">
        <f t="shared" si="2"/>
        <v>30000</v>
      </c>
      <c r="W20" s="45">
        <f t="shared" si="5"/>
        <v>1250</v>
      </c>
      <c r="X20" s="45">
        <f t="shared" si="6"/>
        <v>1250</v>
      </c>
      <c r="Y20" s="45">
        <v>2500</v>
      </c>
    </row>
    <row r="21" spans="1:25" ht="15.75" x14ac:dyDescent="0.25">
      <c r="A21" s="5">
        <v>887</v>
      </c>
      <c r="B21" s="34">
        <v>56</v>
      </c>
      <c r="C21" s="45">
        <f>$W$21</f>
        <v>1750</v>
      </c>
      <c r="D21" s="15">
        <f t="shared" si="3"/>
        <v>98000</v>
      </c>
      <c r="E21" s="6"/>
      <c r="F21" s="45">
        <f>$W$21</f>
        <v>1750</v>
      </c>
      <c r="G21" s="15">
        <f t="shared" si="0"/>
        <v>0</v>
      </c>
      <c r="H21" s="19"/>
      <c r="K21" s="5">
        <v>887</v>
      </c>
      <c r="L21" s="66">
        <v>56</v>
      </c>
      <c r="M21" s="45">
        <f>$W$21</f>
        <v>1750</v>
      </c>
      <c r="N21" s="15">
        <f t="shared" si="4"/>
        <v>98000</v>
      </c>
      <c r="O21" s="6"/>
      <c r="P21" s="45">
        <f>$W$21</f>
        <v>1750</v>
      </c>
      <c r="Q21" s="15">
        <f t="shared" si="1"/>
        <v>0</v>
      </c>
      <c r="R21" s="44"/>
      <c r="S21" s="45">
        <f>$W$21</f>
        <v>1750</v>
      </c>
      <c r="T21" s="15">
        <f t="shared" si="2"/>
        <v>0</v>
      </c>
      <c r="W21" s="45">
        <f t="shared" si="5"/>
        <v>1750</v>
      </c>
      <c r="X21" s="45">
        <f t="shared" si="6"/>
        <v>1750</v>
      </c>
      <c r="Y21" s="45">
        <v>3500</v>
      </c>
    </row>
    <row r="22" spans="1:25" ht="15.75" x14ac:dyDescent="0.25">
      <c r="A22" s="5" t="s">
        <v>53</v>
      </c>
      <c r="B22" s="34">
        <v>18.5</v>
      </c>
      <c r="C22" s="45">
        <f>$W$21</f>
        <v>1750</v>
      </c>
      <c r="D22" s="15">
        <f t="shared" si="3"/>
        <v>32375</v>
      </c>
      <c r="E22" s="6"/>
      <c r="F22" s="45">
        <f>$W$21</f>
        <v>1750</v>
      </c>
      <c r="G22" s="15">
        <f t="shared" si="0"/>
        <v>0</v>
      </c>
      <c r="H22" s="19"/>
      <c r="K22" s="5" t="s">
        <v>53</v>
      </c>
      <c r="L22" s="66">
        <v>18.5</v>
      </c>
      <c r="M22" s="45">
        <f>$W$21</f>
        <v>1750</v>
      </c>
      <c r="N22" s="15">
        <f t="shared" si="4"/>
        <v>32375</v>
      </c>
      <c r="O22" s="6"/>
      <c r="P22" s="45">
        <f>$W$21</f>
        <v>1750</v>
      </c>
      <c r="Q22" s="15">
        <f t="shared" si="1"/>
        <v>0</v>
      </c>
      <c r="R22" s="6"/>
      <c r="S22" s="45">
        <f>$W$21</f>
        <v>1750</v>
      </c>
      <c r="T22" s="15">
        <f t="shared" si="2"/>
        <v>0</v>
      </c>
      <c r="W22" s="45">
        <f t="shared" si="5"/>
        <v>1000</v>
      </c>
      <c r="X22" s="45">
        <f t="shared" si="6"/>
        <v>1000</v>
      </c>
      <c r="Y22" s="45">
        <v>2000</v>
      </c>
    </row>
    <row r="23" spans="1:25" ht="15.75" x14ac:dyDescent="0.25">
      <c r="A23" s="5" t="s">
        <v>54</v>
      </c>
      <c r="B23" s="34">
        <v>10.5</v>
      </c>
      <c r="C23" s="45">
        <f>$W$23</f>
        <v>1750</v>
      </c>
      <c r="D23" s="15">
        <f t="shared" si="3"/>
        <v>18375</v>
      </c>
      <c r="E23" s="6"/>
      <c r="F23" s="45">
        <f>$W$23</f>
        <v>1750</v>
      </c>
      <c r="G23" s="15">
        <f t="shared" si="0"/>
        <v>0</v>
      </c>
      <c r="H23" s="19"/>
      <c r="K23" s="5" t="s">
        <v>54</v>
      </c>
      <c r="L23" s="66">
        <v>10.5</v>
      </c>
      <c r="M23" s="45">
        <f>$W$23</f>
        <v>1750</v>
      </c>
      <c r="N23" s="15">
        <f t="shared" si="4"/>
        <v>18375</v>
      </c>
      <c r="O23" s="6"/>
      <c r="P23" s="45">
        <f>$W$23</f>
        <v>1750</v>
      </c>
      <c r="Q23" s="15">
        <f t="shared" si="1"/>
        <v>0</v>
      </c>
      <c r="R23" s="6"/>
      <c r="S23" s="45">
        <f>$W$23</f>
        <v>1750</v>
      </c>
      <c r="T23" s="15">
        <f t="shared" si="2"/>
        <v>0</v>
      </c>
      <c r="W23" s="45">
        <f t="shared" si="5"/>
        <v>1750</v>
      </c>
      <c r="X23" s="45">
        <f t="shared" si="6"/>
        <v>1750</v>
      </c>
      <c r="Y23" s="45">
        <v>3500</v>
      </c>
    </row>
    <row r="24" spans="1:25" ht="15.75" x14ac:dyDescent="0.25">
      <c r="A24" s="5" t="s">
        <v>108</v>
      </c>
      <c r="B24" s="34"/>
      <c r="C24" s="45">
        <f>$W$24</f>
        <v>2500</v>
      </c>
      <c r="D24" s="15">
        <f t="shared" si="3"/>
        <v>0</v>
      </c>
      <c r="E24" s="6"/>
      <c r="F24" s="45">
        <f>$W$24</f>
        <v>2500</v>
      </c>
      <c r="G24" s="15">
        <f t="shared" si="0"/>
        <v>0</v>
      </c>
      <c r="H24" s="19"/>
      <c r="K24" s="5" t="s">
        <v>108</v>
      </c>
      <c r="L24" s="61">
        <v>96</v>
      </c>
      <c r="M24" s="45">
        <f>$W$24</f>
        <v>2500</v>
      </c>
      <c r="N24" s="15">
        <f t="shared" si="4"/>
        <v>240000</v>
      </c>
      <c r="O24" s="60">
        <v>12</v>
      </c>
      <c r="P24" s="45">
        <f>$W$24</f>
        <v>2500</v>
      </c>
      <c r="Q24" s="15">
        <f t="shared" si="1"/>
        <v>30000</v>
      </c>
      <c r="R24" s="60">
        <v>36</v>
      </c>
      <c r="S24" s="45">
        <f>$W$24</f>
        <v>2500</v>
      </c>
      <c r="T24" s="15">
        <f t="shared" si="2"/>
        <v>90000</v>
      </c>
      <c r="W24" s="45">
        <f t="shared" si="5"/>
        <v>2500</v>
      </c>
      <c r="X24" s="45">
        <f t="shared" si="6"/>
        <v>2500</v>
      </c>
      <c r="Y24" s="45">
        <v>5000</v>
      </c>
    </row>
    <row r="25" spans="1:25" ht="15.75" x14ac:dyDescent="0.25">
      <c r="A25" s="5" t="s">
        <v>55</v>
      </c>
      <c r="B25" s="34">
        <v>0</v>
      </c>
      <c r="C25" s="15"/>
      <c r="D25" s="15">
        <v>0</v>
      </c>
      <c r="E25" s="6"/>
      <c r="F25" s="15"/>
      <c r="G25" s="15">
        <f t="shared" si="0"/>
        <v>0</v>
      </c>
      <c r="H25" s="19"/>
      <c r="K25" s="5" t="s">
        <v>55</v>
      </c>
      <c r="L25" s="34">
        <v>78.5</v>
      </c>
      <c r="M25" s="15"/>
      <c r="N25" s="15">
        <v>0</v>
      </c>
      <c r="O25" s="6"/>
      <c r="P25" s="15"/>
      <c r="Q25" s="15">
        <f t="shared" si="1"/>
        <v>0</v>
      </c>
      <c r="R25" s="6"/>
      <c r="S25" s="15"/>
      <c r="T25" s="15">
        <f t="shared" si="2"/>
        <v>0</v>
      </c>
    </row>
    <row r="26" spans="1:25" ht="15.75" x14ac:dyDescent="0.25">
      <c r="A26" s="5" t="s">
        <v>56</v>
      </c>
      <c r="B26" s="34">
        <v>10</v>
      </c>
      <c r="C26" s="15"/>
      <c r="D26" s="15">
        <v>0</v>
      </c>
      <c r="E26" s="6"/>
      <c r="F26" s="15">
        <v>100</v>
      </c>
      <c r="G26" s="15">
        <f t="shared" si="0"/>
        <v>0</v>
      </c>
      <c r="H26" s="19"/>
      <c r="K26" s="5" t="s">
        <v>56</v>
      </c>
      <c r="L26" s="34">
        <v>66</v>
      </c>
      <c r="M26" s="15">
        <v>100</v>
      </c>
      <c r="N26" s="15">
        <v>0</v>
      </c>
      <c r="O26" s="6"/>
      <c r="P26" s="15">
        <v>100</v>
      </c>
      <c r="Q26" s="15">
        <f t="shared" si="1"/>
        <v>0</v>
      </c>
      <c r="R26" s="6"/>
      <c r="S26" s="15"/>
      <c r="T26" s="15">
        <f t="shared" si="2"/>
        <v>0</v>
      </c>
    </row>
    <row r="27" spans="1:25" ht="15.75" x14ac:dyDescent="0.25">
      <c r="A27" s="5" t="s">
        <v>57</v>
      </c>
      <c r="B27" s="34">
        <v>0</v>
      </c>
      <c r="C27" s="15">
        <v>400</v>
      </c>
      <c r="D27" s="15">
        <v>0</v>
      </c>
      <c r="E27" s="6"/>
      <c r="F27" s="15">
        <v>400</v>
      </c>
      <c r="G27" s="15">
        <f t="shared" si="0"/>
        <v>0</v>
      </c>
      <c r="H27" s="19"/>
      <c r="K27" s="5" t="s">
        <v>57</v>
      </c>
      <c r="L27" s="34">
        <v>51</v>
      </c>
      <c r="M27" s="15">
        <v>400</v>
      </c>
      <c r="N27" s="15">
        <v>0</v>
      </c>
      <c r="O27" s="6"/>
      <c r="P27" s="15">
        <v>400</v>
      </c>
      <c r="Q27" s="15">
        <f t="shared" si="1"/>
        <v>0</v>
      </c>
      <c r="R27" s="6"/>
      <c r="S27" s="15"/>
      <c r="T27" s="15">
        <f t="shared" si="2"/>
        <v>0</v>
      </c>
    </row>
    <row r="28" spans="1:25" ht="15.75" x14ac:dyDescent="0.25">
      <c r="A28" s="12" t="s">
        <v>36</v>
      </c>
      <c r="B28" s="13">
        <f>SUM(B5:B27)</f>
        <v>953.95</v>
      </c>
      <c r="C28" s="16"/>
      <c r="D28" s="16">
        <f>SUM(D5:D27)</f>
        <v>1183412.5</v>
      </c>
      <c r="E28" s="13">
        <f>SUM(E5:E27)</f>
        <v>8</v>
      </c>
      <c r="F28" s="16"/>
      <c r="G28" s="16">
        <f>SUM(G5:G27)</f>
        <v>14000</v>
      </c>
      <c r="H28" s="20"/>
      <c r="K28" s="12" t="s">
        <v>64</v>
      </c>
      <c r="L28" s="16">
        <f>SUM(L5:L27)</f>
        <v>1175.45</v>
      </c>
      <c r="M28" s="16"/>
      <c r="N28" s="68">
        <f>SUM(N5:N27)</f>
        <v>1330412.5</v>
      </c>
      <c r="O28" s="16">
        <f>SUM(O5:O27)</f>
        <v>20</v>
      </c>
      <c r="P28" s="16"/>
      <c r="Q28" s="68">
        <f>SUM(Q5:Q27)</f>
        <v>44000</v>
      </c>
      <c r="R28" s="16">
        <f>SUM(R5:R27)</f>
        <v>96</v>
      </c>
      <c r="S28" s="16"/>
      <c r="T28" s="68">
        <f>SUM(T5:T27)</f>
        <v>183000</v>
      </c>
    </row>
    <row r="29" spans="1:25" ht="15.75" x14ac:dyDescent="0.25">
      <c r="A29" s="12"/>
      <c r="B29" s="13"/>
      <c r="C29" s="13"/>
      <c r="D29" s="16"/>
      <c r="E29" s="13"/>
      <c r="F29" s="13"/>
      <c r="G29" s="16"/>
      <c r="H29" s="1"/>
      <c r="K29" s="12" t="s">
        <v>65</v>
      </c>
      <c r="L29" s="16">
        <f>B28</f>
        <v>953.95</v>
      </c>
      <c r="M29" s="16"/>
      <c r="N29" s="16">
        <f>D28</f>
        <v>1183412.5</v>
      </c>
      <c r="O29" s="16">
        <f>E28</f>
        <v>8</v>
      </c>
      <c r="P29" s="16"/>
      <c r="Q29" s="16">
        <f>G28</f>
        <v>14000</v>
      </c>
      <c r="R29" s="16"/>
      <c r="S29" s="16"/>
      <c r="T29" s="16"/>
    </row>
    <row r="30" spans="1:25" ht="15.75" x14ac:dyDescent="0.25">
      <c r="A30" s="12" t="s">
        <v>23</v>
      </c>
      <c r="B30" s="13"/>
      <c r="C30" s="12"/>
      <c r="D30" s="16"/>
      <c r="E30" s="12"/>
      <c r="F30" s="12"/>
      <c r="G30" s="16">
        <f>G28-G29</f>
        <v>14000</v>
      </c>
      <c r="H30" s="1"/>
      <c r="K30" s="12" t="s">
        <v>66</v>
      </c>
      <c r="L30" s="16">
        <f>L28-L29</f>
        <v>221.5</v>
      </c>
      <c r="M30" s="16"/>
      <c r="N30" s="16">
        <f>N28-N29</f>
        <v>147000</v>
      </c>
      <c r="O30" s="16">
        <f>O28-O29</f>
        <v>12</v>
      </c>
      <c r="P30" s="16"/>
      <c r="Q30" s="16">
        <f>Q28-Q29</f>
        <v>30000</v>
      </c>
      <c r="R30" s="16">
        <f>R28-R29</f>
        <v>96</v>
      </c>
      <c r="S30" s="16"/>
      <c r="T30" s="16">
        <f>T28-T29</f>
        <v>183000</v>
      </c>
    </row>
    <row r="31" spans="1:25" ht="15.75" x14ac:dyDescent="0.25">
      <c r="A31" s="1"/>
      <c r="B31" s="1"/>
      <c r="C31" s="1"/>
      <c r="D31" s="1"/>
      <c r="E31" s="1"/>
      <c r="F31" s="1"/>
      <c r="G31" s="1"/>
      <c r="H31" s="1"/>
      <c r="K31" s="1"/>
      <c r="L31" s="1"/>
      <c r="M31" s="1"/>
      <c r="N31" s="1"/>
      <c r="O31" s="1"/>
      <c r="P31" s="1"/>
      <c r="Q31" s="1"/>
    </row>
    <row r="33" spans="1:14" x14ac:dyDescent="0.25">
      <c r="N33" s="63">
        <f>'03.26 (изм)'!O35</f>
        <v>3609087.5</v>
      </c>
    </row>
    <row r="34" spans="1:14" ht="15.75" x14ac:dyDescent="0.25">
      <c r="A34" s="1"/>
      <c r="B34" s="14" t="s">
        <v>59</v>
      </c>
      <c r="C34" s="1"/>
      <c r="D34" s="14" t="s">
        <v>25</v>
      </c>
      <c r="E34" s="35" t="s">
        <v>62</v>
      </c>
      <c r="F34" s="1"/>
      <c r="G34" s="1"/>
    </row>
    <row r="35" spans="1:14" ht="15.75" x14ac:dyDescent="0.25">
      <c r="A35" s="9" t="s">
        <v>22</v>
      </c>
      <c r="B35" s="10" t="s">
        <v>17</v>
      </c>
      <c r="C35" s="2" t="s">
        <v>50</v>
      </c>
      <c r="D35" s="3"/>
      <c r="E35" s="10" t="s">
        <v>21</v>
      </c>
      <c r="F35" s="2"/>
      <c r="G35" s="3"/>
    </row>
    <row r="36" spans="1:14" ht="15.75" x14ac:dyDescent="0.25">
      <c r="A36" s="8"/>
      <c r="B36" s="4" t="s">
        <v>18</v>
      </c>
      <c r="C36" s="8" t="s">
        <v>19</v>
      </c>
      <c r="D36" s="11" t="s">
        <v>20</v>
      </c>
      <c r="E36" s="8" t="s">
        <v>18</v>
      </c>
      <c r="F36" s="8" t="s">
        <v>19</v>
      </c>
      <c r="G36" s="11" t="s">
        <v>20</v>
      </c>
    </row>
    <row r="37" spans="1:14" ht="15.75" x14ac:dyDescent="0.25">
      <c r="A37" s="5" t="s">
        <v>52</v>
      </c>
      <c r="B37" s="33">
        <v>16</v>
      </c>
      <c r="C37" s="15">
        <v>3500</v>
      </c>
      <c r="D37" s="15">
        <f>B37*C37</f>
        <v>56000</v>
      </c>
      <c r="E37" s="1"/>
      <c r="F37" s="15">
        <v>3500</v>
      </c>
      <c r="G37" s="15">
        <f t="shared" ref="G37:G57" si="7">E37*F37</f>
        <v>0</v>
      </c>
    </row>
    <row r="38" spans="1:14" ht="15.75" x14ac:dyDescent="0.25">
      <c r="A38" s="6" t="s">
        <v>7</v>
      </c>
      <c r="B38" s="34"/>
      <c r="C38" s="15">
        <v>1000</v>
      </c>
      <c r="D38" s="15">
        <f t="shared" ref="D38:D54" si="8">B38*C38</f>
        <v>0</v>
      </c>
      <c r="E38" s="6"/>
      <c r="F38" s="15">
        <v>1000</v>
      </c>
      <c r="G38" s="15">
        <f t="shared" si="7"/>
        <v>0</v>
      </c>
    </row>
    <row r="39" spans="1:14" ht="15.75" x14ac:dyDescent="0.25">
      <c r="A39" s="6" t="s">
        <v>9</v>
      </c>
      <c r="B39" s="34">
        <v>48</v>
      </c>
      <c r="C39" s="15">
        <v>3500</v>
      </c>
      <c r="D39" s="15">
        <f t="shared" si="8"/>
        <v>168000</v>
      </c>
      <c r="E39" s="6"/>
      <c r="F39" s="15">
        <v>3500</v>
      </c>
      <c r="G39" s="15">
        <f t="shared" si="7"/>
        <v>0</v>
      </c>
    </row>
    <row r="40" spans="1:14" ht="15.75" x14ac:dyDescent="0.25">
      <c r="A40" s="6" t="s">
        <v>5</v>
      </c>
      <c r="B40" s="34"/>
      <c r="C40" s="15">
        <v>3500</v>
      </c>
      <c r="D40" s="15">
        <f t="shared" si="8"/>
        <v>0</v>
      </c>
      <c r="E40" s="6"/>
      <c r="F40" s="15">
        <v>3500</v>
      </c>
      <c r="G40" s="15">
        <f t="shared" si="7"/>
        <v>0</v>
      </c>
    </row>
    <row r="41" spans="1:14" ht="15.75" x14ac:dyDescent="0.25">
      <c r="A41" s="6" t="s">
        <v>3</v>
      </c>
      <c r="B41" s="34">
        <v>103</v>
      </c>
      <c r="C41" s="15">
        <v>3500</v>
      </c>
      <c r="D41" s="15">
        <f t="shared" si="8"/>
        <v>360500</v>
      </c>
      <c r="E41" s="6"/>
      <c r="F41" s="15">
        <v>3500</v>
      </c>
      <c r="G41" s="15">
        <f t="shared" si="7"/>
        <v>0</v>
      </c>
    </row>
    <row r="42" spans="1:14" ht="15.75" x14ac:dyDescent="0.25">
      <c r="A42" s="6" t="s">
        <v>12</v>
      </c>
      <c r="B42" s="34"/>
      <c r="C42" s="15">
        <v>1000</v>
      </c>
      <c r="D42" s="15">
        <f t="shared" si="8"/>
        <v>0</v>
      </c>
      <c r="E42" s="6"/>
      <c r="F42" s="15">
        <v>1000</v>
      </c>
      <c r="G42" s="15">
        <f t="shared" si="7"/>
        <v>0</v>
      </c>
    </row>
    <row r="43" spans="1:14" ht="15.75" x14ac:dyDescent="0.25">
      <c r="A43" s="5" t="s">
        <v>60</v>
      </c>
      <c r="B43" s="34"/>
      <c r="C43" s="15">
        <v>1000</v>
      </c>
      <c r="D43" s="15">
        <f t="shared" si="8"/>
        <v>0</v>
      </c>
      <c r="E43" s="6"/>
      <c r="F43" s="15">
        <v>1000</v>
      </c>
      <c r="G43" s="15">
        <f t="shared" si="7"/>
        <v>0</v>
      </c>
    </row>
    <row r="44" spans="1:14" ht="15.75" x14ac:dyDescent="0.25">
      <c r="A44" s="5" t="s">
        <v>61</v>
      </c>
      <c r="B44" s="34"/>
      <c r="C44" s="15">
        <v>1000</v>
      </c>
      <c r="D44" s="15">
        <f t="shared" si="8"/>
        <v>0</v>
      </c>
      <c r="E44" s="6"/>
      <c r="F44" s="15">
        <v>1000</v>
      </c>
      <c r="G44" s="15">
        <f t="shared" si="7"/>
        <v>0</v>
      </c>
    </row>
    <row r="45" spans="1:14" ht="15.75" x14ac:dyDescent="0.25">
      <c r="A45" s="6" t="s">
        <v>2</v>
      </c>
      <c r="B45" s="34"/>
      <c r="C45" s="15">
        <v>3000</v>
      </c>
      <c r="D45" s="15">
        <f t="shared" si="8"/>
        <v>0</v>
      </c>
      <c r="E45" s="6"/>
      <c r="F45" s="15">
        <v>3000</v>
      </c>
      <c r="G45" s="15">
        <f t="shared" si="7"/>
        <v>0</v>
      </c>
    </row>
    <row r="46" spans="1:14" ht="15.75" x14ac:dyDescent="0.25">
      <c r="A46" s="6" t="s">
        <v>10</v>
      </c>
      <c r="B46" s="34"/>
      <c r="C46" s="15">
        <v>2500</v>
      </c>
      <c r="D46" s="15">
        <f t="shared" si="8"/>
        <v>0</v>
      </c>
      <c r="E46" s="6"/>
      <c r="F46" s="15">
        <v>2500</v>
      </c>
      <c r="G46" s="15">
        <f t="shared" si="7"/>
        <v>0</v>
      </c>
    </row>
    <row r="47" spans="1:14" ht="15.75" x14ac:dyDescent="0.25">
      <c r="A47" s="6" t="s">
        <v>11</v>
      </c>
      <c r="B47" s="34"/>
      <c r="C47" s="15">
        <v>3500</v>
      </c>
      <c r="D47" s="15">
        <f t="shared" si="8"/>
        <v>0</v>
      </c>
      <c r="E47" s="6"/>
      <c r="F47" s="15">
        <v>3500</v>
      </c>
      <c r="G47" s="15">
        <f t="shared" si="7"/>
        <v>0</v>
      </c>
    </row>
    <row r="48" spans="1:14" ht="15.75" x14ac:dyDescent="0.25">
      <c r="A48" s="6" t="s">
        <v>8</v>
      </c>
      <c r="B48" s="34">
        <v>120</v>
      </c>
      <c r="C48" s="15">
        <v>4000</v>
      </c>
      <c r="D48" s="15">
        <f t="shared" si="8"/>
        <v>480000</v>
      </c>
      <c r="E48" s="6"/>
      <c r="F48" s="15">
        <v>4000</v>
      </c>
      <c r="G48" s="15">
        <f t="shared" si="7"/>
        <v>0</v>
      </c>
    </row>
    <row r="49" spans="1:7" ht="15.75" x14ac:dyDescent="0.25">
      <c r="A49" s="6" t="s">
        <v>6</v>
      </c>
      <c r="B49" s="34"/>
      <c r="C49" s="15">
        <v>4000</v>
      </c>
      <c r="D49" s="15">
        <f t="shared" si="8"/>
        <v>0</v>
      </c>
      <c r="E49" s="6"/>
      <c r="F49" s="15">
        <v>4000</v>
      </c>
      <c r="G49" s="15">
        <f t="shared" si="7"/>
        <v>0</v>
      </c>
    </row>
    <row r="50" spans="1:7" ht="15.75" x14ac:dyDescent="0.25">
      <c r="A50" s="6" t="s">
        <v>4</v>
      </c>
      <c r="B50" s="34"/>
      <c r="C50" s="15">
        <v>1000</v>
      </c>
      <c r="D50" s="15">
        <f t="shared" si="8"/>
        <v>0</v>
      </c>
      <c r="E50" s="6"/>
      <c r="F50" s="15">
        <v>1000</v>
      </c>
      <c r="G50" s="15">
        <f t="shared" si="7"/>
        <v>0</v>
      </c>
    </row>
    <row r="51" spans="1:7" ht="15.75" x14ac:dyDescent="0.25">
      <c r="A51" s="6" t="s">
        <v>1</v>
      </c>
      <c r="B51" s="34"/>
      <c r="C51" s="15">
        <v>2500</v>
      </c>
      <c r="D51" s="15">
        <f t="shared" si="8"/>
        <v>0</v>
      </c>
      <c r="E51" s="6"/>
      <c r="F51" s="15">
        <v>2500</v>
      </c>
      <c r="G51" s="15">
        <f t="shared" si="7"/>
        <v>0</v>
      </c>
    </row>
    <row r="52" spans="1:7" ht="15.75" x14ac:dyDescent="0.25">
      <c r="A52" s="5">
        <v>887</v>
      </c>
      <c r="B52" s="34"/>
      <c r="C52" s="15">
        <v>3000</v>
      </c>
      <c r="D52" s="15">
        <f t="shared" si="8"/>
        <v>0</v>
      </c>
      <c r="E52" s="6"/>
      <c r="F52" s="15">
        <v>3000</v>
      </c>
      <c r="G52" s="15">
        <f t="shared" si="7"/>
        <v>0</v>
      </c>
    </row>
    <row r="53" spans="1:7" ht="15.75" x14ac:dyDescent="0.25">
      <c r="A53" s="5" t="s">
        <v>53</v>
      </c>
      <c r="B53" s="34">
        <v>43</v>
      </c>
      <c r="C53" s="15">
        <v>2000</v>
      </c>
      <c r="D53" s="15">
        <f t="shared" si="8"/>
        <v>86000</v>
      </c>
      <c r="E53" s="6"/>
      <c r="F53" s="15">
        <v>2000</v>
      </c>
      <c r="G53" s="15">
        <f t="shared" si="7"/>
        <v>0</v>
      </c>
    </row>
    <row r="54" spans="1:7" ht="15.75" x14ac:dyDescent="0.25">
      <c r="A54" s="5" t="s">
        <v>54</v>
      </c>
      <c r="B54" s="34"/>
      <c r="C54" s="15">
        <v>3500</v>
      </c>
      <c r="D54" s="15">
        <f t="shared" si="8"/>
        <v>0</v>
      </c>
      <c r="E54" s="6"/>
      <c r="F54" s="15">
        <v>3500</v>
      </c>
      <c r="G54" s="15">
        <f t="shared" si="7"/>
        <v>0</v>
      </c>
    </row>
    <row r="55" spans="1:7" ht="15.75" x14ac:dyDescent="0.25">
      <c r="A55" s="5" t="s">
        <v>55</v>
      </c>
      <c r="B55" s="34">
        <v>78.5</v>
      </c>
      <c r="C55" s="15">
        <v>600</v>
      </c>
      <c r="D55" s="15">
        <v>0</v>
      </c>
      <c r="E55" s="6"/>
      <c r="F55" s="15">
        <v>600</v>
      </c>
      <c r="G55" s="15">
        <f t="shared" si="7"/>
        <v>0</v>
      </c>
    </row>
    <row r="56" spans="1:7" ht="15.75" x14ac:dyDescent="0.25">
      <c r="A56" s="5" t="s">
        <v>56</v>
      </c>
      <c r="B56" s="34">
        <v>56</v>
      </c>
      <c r="C56" s="15">
        <v>100</v>
      </c>
      <c r="D56" s="15">
        <v>0</v>
      </c>
      <c r="E56" s="6"/>
      <c r="F56" s="15">
        <v>100</v>
      </c>
      <c r="G56" s="15">
        <f t="shared" si="7"/>
        <v>0</v>
      </c>
    </row>
    <row r="57" spans="1:7" ht="15.75" x14ac:dyDescent="0.25">
      <c r="A57" s="5" t="s">
        <v>57</v>
      </c>
      <c r="B57" s="34">
        <v>51</v>
      </c>
      <c r="C57" s="15">
        <v>400</v>
      </c>
      <c r="D57" s="15">
        <v>0</v>
      </c>
      <c r="E57" s="6"/>
      <c r="F57" s="15">
        <v>400</v>
      </c>
      <c r="G57" s="15">
        <f t="shared" si="7"/>
        <v>0</v>
      </c>
    </row>
    <row r="58" spans="1:7" ht="15.75" x14ac:dyDescent="0.25">
      <c r="A58" s="12" t="s">
        <v>36</v>
      </c>
      <c r="B58" s="13">
        <f>SUM(B37:B57)</f>
        <v>515.5</v>
      </c>
      <c r="C58" s="16"/>
      <c r="D58" s="16">
        <f>SUM(D37:D57)</f>
        <v>1150500</v>
      </c>
      <c r="E58" s="13">
        <f>SUM(E37:E57)</f>
        <v>0</v>
      </c>
      <c r="F58" s="16"/>
      <c r="G58" s="13">
        <f>SUM(G37:G57)</f>
        <v>0</v>
      </c>
    </row>
    <row r="59" spans="1:7" ht="15.75" x14ac:dyDescent="0.25">
      <c r="A59" s="12"/>
      <c r="B59" s="13"/>
      <c r="C59" s="13"/>
      <c r="D59" s="16"/>
      <c r="E59" s="13"/>
      <c r="F59" s="13"/>
      <c r="G59" s="16"/>
    </row>
    <row r="60" spans="1:7" ht="15.75" x14ac:dyDescent="0.25">
      <c r="A60" s="12" t="s">
        <v>23</v>
      </c>
      <c r="B60" s="13"/>
      <c r="C60" s="12"/>
      <c r="D60" s="16"/>
      <c r="E60" s="12"/>
      <c r="F60" s="12"/>
      <c r="G60" s="16">
        <f>G58-G59</f>
        <v>0</v>
      </c>
    </row>
    <row r="61" spans="1:7" ht="15.75" x14ac:dyDescent="0.25">
      <c r="A61" s="1"/>
      <c r="B61" s="1"/>
      <c r="C61" s="1"/>
      <c r="D61" s="1"/>
      <c r="E61" s="1"/>
      <c r="F61" s="1"/>
      <c r="G61" s="1"/>
    </row>
  </sheetData>
  <pageMargins left="0.7" right="0.7" top="0.75" bottom="0.75" header="0.3" footer="0.3"/>
  <pageSetup paperSize="9" scale="4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8"/>
  <sheetViews>
    <sheetView workbookViewId="0">
      <selection activeCell="C22" sqref="A22:C23"/>
    </sheetView>
  </sheetViews>
  <sheetFormatPr defaultRowHeight="15" x14ac:dyDescent="0.25"/>
  <cols>
    <col min="1" max="1" width="27.5703125" customWidth="1"/>
    <col min="4" max="4" width="15.85546875" customWidth="1"/>
    <col min="7" max="7" width="12.42578125" customWidth="1"/>
    <col min="11" max="11" width="30.85546875" customWidth="1"/>
    <col min="14" max="14" width="14" customWidth="1"/>
    <col min="17" max="17" width="12.42578125" customWidth="1"/>
  </cols>
  <sheetData>
    <row r="1" spans="1:17" ht="15.75" x14ac:dyDescent="0.25">
      <c r="A1" s="1"/>
      <c r="B1" s="14" t="s">
        <v>59</v>
      </c>
      <c r="C1" s="1"/>
      <c r="D1" s="14" t="s">
        <v>25</v>
      </c>
      <c r="E1" s="14" t="s">
        <v>63</v>
      </c>
      <c r="F1" s="1"/>
      <c r="G1" s="1"/>
      <c r="H1" s="1"/>
      <c r="K1" s="1"/>
      <c r="L1" s="35" t="s">
        <v>59</v>
      </c>
      <c r="M1" s="1"/>
      <c r="N1" s="14" t="s">
        <v>25</v>
      </c>
      <c r="O1" s="1"/>
      <c r="P1" s="1"/>
      <c r="Q1" s="1"/>
    </row>
    <row r="2" spans="1:17" ht="15.75" x14ac:dyDescent="0.25">
      <c r="A2" s="9" t="s">
        <v>22</v>
      </c>
      <c r="B2" s="10" t="s">
        <v>17</v>
      </c>
      <c r="C2" s="2" t="s">
        <v>50</v>
      </c>
      <c r="D2" s="3"/>
      <c r="E2" s="10" t="s">
        <v>21</v>
      </c>
      <c r="F2" s="2"/>
      <c r="G2" s="3"/>
      <c r="H2" s="18"/>
      <c r="K2" s="9" t="s">
        <v>22</v>
      </c>
      <c r="L2" s="10" t="s">
        <v>17</v>
      </c>
      <c r="M2" s="2" t="s">
        <v>50</v>
      </c>
      <c r="N2" s="3"/>
      <c r="O2" s="10" t="s">
        <v>21</v>
      </c>
      <c r="P2" s="2"/>
      <c r="Q2" s="3"/>
    </row>
    <row r="3" spans="1:17" ht="15.75" x14ac:dyDescent="0.25">
      <c r="A3" s="8"/>
      <c r="B3" s="4" t="s">
        <v>18</v>
      </c>
      <c r="C3" s="8" t="s">
        <v>19</v>
      </c>
      <c r="D3" s="11" t="s">
        <v>20</v>
      </c>
      <c r="E3" s="8" t="s">
        <v>18</v>
      </c>
      <c r="F3" s="8" t="s">
        <v>19</v>
      </c>
      <c r="G3" s="11" t="s">
        <v>20</v>
      </c>
      <c r="H3" s="17"/>
      <c r="K3" s="8"/>
      <c r="L3" s="4" t="s">
        <v>18</v>
      </c>
      <c r="M3" s="8" t="s">
        <v>19</v>
      </c>
      <c r="N3" s="11" t="s">
        <v>20</v>
      </c>
      <c r="O3" s="8" t="s">
        <v>18</v>
      </c>
      <c r="P3" s="8" t="s">
        <v>19</v>
      </c>
      <c r="Q3" s="11" t="s">
        <v>20</v>
      </c>
    </row>
    <row r="4" spans="1:17" ht="15.75" x14ac:dyDescent="0.25">
      <c r="A4" s="5" t="s">
        <v>52</v>
      </c>
      <c r="B4" s="33">
        <v>96</v>
      </c>
      <c r="C4" s="15">
        <v>3500</v>
      </c>
      <c r="D4" s="15">
        <f>B4*C4</f>
        <v>336000</v>
      </c>
      <c r="E4" s="1">
        <v>8</v>
      </c>
      <c r="F4" s="15">
        <v>3500</v>
      </c>
      <c r="G4" s="15">
        <f t="shared" ref="G4:G24" si="0">E4*F4</f>
        <v>28000</v>
      </c>
      <c r="H4" s="19"/>
      <c r="K4" s="5" t="s">
        <v>52</v>
      </c>
      <c r="L4" s="33">
        <v>112</v>
      </c>
      <c r="M4" s="15">
        <v>3500</v>
      </c>
      <c r="N4" s="15">
        <f>L4*M4</f>
        <v>392000</v>
      </c>
      <c r="O4" s="1">
        <v>8</v>
      </c>
      <c r="P4" s="15">
        <v>3500</v>
      </c>
      <c r="Q4" s="15">
        <f t="shared" ref="Q4:Q24" si="1">O4*P4</f>
        <v>28000</v>
      </c>
    </row>
    <row r="5" spans="1:17" ht="15.75" x14ac:dyDescent="0.25">
      <c r="A5" s="6" t="s">
        <v>7</v>
      </c>
      <c r="B5" s="34">
        <v>143</v>
      </c>
      <c r="C5" s="15">
        <v>1000</v>
      </c>
      <c r="D5" s="15">
        <f t="shared" ref="D5:D21" si="2">B5*C5</f>
        <v>143000</v>
      </c>
      <c r="E5" s="6"/>
      <c r="F5" s="15">
        <v>1000</v>
      </c>
      <c r="G5" s="15">
        <f t="shared" si="0"/>
        <v>0</v>
      </c>
      <c r="H5" s="19"/>
      <c r="K5" s="6" t="s">
        <v>7</v>
      </c>
      <c r="L5" s="34">
        <v>143</v>
      </c>
      <c r="M5" s="15">
        <v>1000</v>
      </c>
      <c r="N5" s="15">
        <f t="shared" ref="N5:N21" si="3">L5*M5</f>
        <v>143000</v>
      </c>
      <c r="O5" s="6"/>
      <c r="P5" s="15">
        <v>1000</v>
      </c>
      <c r="Q5" s="15">
        <f t="shared" si="1"/>
        <v>0</v>
      </c>
    </row>
    <row r="6" spans="1:17" ht="15.75" x14ac:dyDescent="0.25">
      <c r="A6" s="6" t="s">
        <v>9</v>
      </c>
      <c r="B6" s="34">
        <v>88.45</v>
      </c>
      <c r="C6" s="15">
        <v>3500</v>
      </c>
      <c r="D6" s="15">
        <f t="shared" si="2"/>
        <v>309575</v>
      </c>
      <c r="E6" s="6"/>
      <c r="F6" s="15">
        <v>3500</v>
      </c>
      <c r="G6" s="15">
        <f t="shared" si="0"/>
        <v>0</v>
      </c>
      <c r="H6" s="19"/>
      <c r="K6" s="6" t="s">
        <v>9</v>
      </c>
      <c r="L6" s="34">
        <v>136.44999999999999</v>
      </c>
      <c r="M6" s="15">
        <v>3500</v>
      </c>
      <c r="N6" s="15">
        <f t="shared" si="3"/>
        <v>477574.99999999994</v>
      </c>
      <c r="O6" s="6"/>
      <c r="P6" s="15">
        <v>3500</v>
      </c>
      <c r="Q6" s="15">
        <f t="shared" si="1"/>
        <v>0</v>
      </c>
    </row>
    <row r="7" spans="1:17" ht="15.75" x14ac:dyDescent="0.25">
      <c r="A7" s="6" t="s">
        <v>5</v>
      </c>
      <c r="B7" s="34">
        <v>112</v>
      </c>
      <c r="C7" s="15">
        <v>3500</v>
      </c>
      <c r="D7" s="15">
        <f t="shared" si="2"/>
        <v>392000</v>
      </c>
      <c r="E7" s="6"/>
      <c r="F7" s="15">
        <v>3500</v>
      </c>
      <c r="G7" s="15">
        <f t="shared" si="0"/>
        <v>0</v>
      </c>
      <c r="H7" s="19"/>
      <c r="K7" s="6" t="s">
        <v>5</v>
      </c>
      <c r="L7" s="34">
        <v>112</v>
      </c>
      <c r="M7" s="15">
        <v>3500</v>
      </c>
      <c r="N7" s="15">
        <f t="shared" si="3"/>
        <v>392000</v>
      </c>
      <c r="O7" s="6"/>
      <c r="P7" s="15">
        <v>3500</v>
      </c>
      <c r="Q7" s="15">
        <f t="shared" si="1"/>
        <v>0</v>
      </c>
    </row>
    <row r="8" spans="1:17" ht="15.75" x14ac:dyDescent="0.25">
      <c r="A8" s="6" t="s">
        <v>3</v>
      </c>
      <c r="B8" s="34">
        <v>27</v>
      </c>
      <c r="C8" s="15">
        <v>3500</v>
      </c>
      <c r="D8" s="15">
        <f t="shared" si="2"/>
        <v>94500</v>
      </c>
      <c r="E8" s="6"/>
      <c r="F8" s="15">
        <v>3500</v>
      </c>
      <c r="G8" s="15">
        <f t="shared" si="0"/>
        <v>0</v>
      </c>
      <c r="H8" s="19"/>
      <c r="K8" s="6" t="s">
        <v>3</v>
      </c>
      <c r="L8" s="34">
        <v>130</v>
      </c>
      <c r="M8" s="15">
        <v>3500</v>
      </c>
      <c r="N8" s="15">
        <f t="shared" si="3"/>
        <v>455000</v>
      </c>
      <c r="O8" s="6"/>
      <c r="P8" s="15">
        <v>3500</v>
      </c>
      <c r="Q8" s="15">
        <f t="shared" si="1"/>
        <v>0</v>
      </c>
    </row>
    <row r="9" spans="1:17" ht="15.75" x14ac:dyDescent="0.25">
      <c r="A9" s="6" t="s">
        <v>12</v>
      </c>
      <c r="B9" s="34">
        <v>24</v>
      </c>
      <c r="C9" s="15">
        <v>1000</v>
      </c>
      <c r="D9" s="15">
        <f t="shared" si="2"/>
        <v>24000</v>
      </c>
      <c r="E9" s="6"/>
      <c r="F9" s="15">
        <v>1000</v>
      </c>
      <c r="G9" s="15">
        <f t="shared" si="0"/>
        <v>0</v>
      </c>
      <c r="H9" s="19"/>
      <c r="K9" s="6" t="s">
        <v>12</v>
      </c>
      <c r="L9" s="34">
        <v>24</v>
      </c>
      <c r="M9" s="15">
        <v>1000</v>
      </c>
      <c r="N9" s="15">
        <f t="shared" si="3"/>
        <v>24000</v>
      </c>
      <c r="O9" s="6"/>
      <c r="P9" s="15">
        <v>1000</v>
      </c>
      <c r="Q9" s="15">
        <f t="shared" si="1"/>
        <v>0</v>
      </c>
    </row>
    <row r="10" spans="1:17" ht="15.75" x14ac:dyDescent="0.25">
      <c r="A10" s="5" t="s">
        <v>60</v>
      </c>
      <c r="B10" s="34">
        <v>8</v>
      </c>
      <c r="C10" s="15">
        <v>1000</v>
      </c>
      <c r="D10" s="15">
        <f t="shared" si="2"/>
        <v>8000</v>
      </c>
      <c r="E10" s="6"/>
      <c r="F10" s="15">
        <v>1000</v>
      </c>
      <c r="G10" s="15">
        <f t="shared" si="0"/>
        <v>0</v>
      </c>
      <c r="H10" s="19"/>
      <c r="K10" s="5" t="s">
        <v>60</v>
      </c>
      <c r="L10" s="34">
        <v>8</v>
      </c>
      <c r="M10" s="15">
        <v>1000</v>
      </c>
      <c r="N10" s="15">
        <f t="shared" si="3"/>
        <v>8000</v>
      </c>
      <c r="O10" s="6"/>
      <c r="P10" s="15">
        <v>1000</v>
      </c>
      <c r="Q10" s="15">
        <f t="shared" si="1"/>
        <v>0</v>
      </c>
    </row>
    <row r="11" spans="1:17" ht="15.75" x14ac:dyDescent="0.25">
      <c r="A11" s="5" t="s">
        <v>61</v>
      </c>
      <c r="B11" s="34">
        <v>8</v>
      </c>
      <c r="C11" s="15">
        <v>1000</v>
      </c>
      <c r="D11" s="15">
        <f t="shared" si="2"/>
        <v>8000</v>
      </c>
      <c r="E11" s="6"/>
      <c r="F11" s="15">
        <v>1000</v>
      </c>
      <c r="G11" s="15">
        <f t="shared" si="0"/>
        <v>0</v>
      </c>
      <c r="H11" s="19"/>
      <c r="K11" s="5" t="s">
        <v>61</v>
      </c>
      <c r="L11" s="34">
        <v>8</v>
      </c>
      <c r="M11" s="15">
        <v>1000</v>
      </c>
      <c r="N11" s="15">
        <f t="shared" si="3"/>
        <v>8000</v>
      </c>
      <c r="O11" s="6"/>
      <c r="P11" s="15">
        <v>1000</v>
      </c>
      <c r="Q11" s="15">
        <f t="shared" si="1"/>
        <v>0</v>
      </c>
    </row>
    <row r="12" spans="1:17" ht="15.75" x14ac:dyDescent="0.25">
      <c r="A12" s="6" t="s">
        <v>2</v>
      </c>
      <c r="B12" s="34"/>
      <c r="C12" s="15">
        <v>3000</v>
      </c>
      <c r="D12" s="15">
        <f t="shared" si="2"/>
        <v>0</v>
      </c>
      <c r="E12" s="6"/>
      <c r="F12" s="15">
        <v>3000</v>
      </c>
      <c r="G12" s="15">
        <f t="shared" si="0"/>
        <v>0</v>
      </c>
      <c r="H12" s="19"/>
      <c r="K12" s="6" t="s">
        <v>2</v>
      </c>
      <c r="L12" s="34"/>
      <c r="M12" s="15">
        <v>3000</v>
      </c>
      <c r="N12" s="15">
        <f t="shared" si="3"/>
        <v>0</v>
      </c>
      <c r="O12" s="6"/>
      <c r="P12" s="15">
        <v>3000</v>
      </c>
      <c r="Q12" s="15">
        <f t="shared" si="1"/>
        <v>0</v>
      </c>
    </row>
    <row r="13" spans="1:17" ht="15.75" x14ac:dyDescent="0.25">
      <c r="A13" s="6" t="s">
        <v>10</v>
      </c>
      <c r="B13" s="34">
        <v>96.5</v>
      </c>
      <c r="C13" s="15">
        <v>2500</v>
      </c>
      <c r="D13" s="15">
        <f t="shared" si="2"/>
        <v>241250</v>
      </c>
      <c r="E13" s="6"/>
      <c r="F13" s="15">
        <v>2500</v>
      </c>
      <c r="G13" s="15">
        <f t="shared" si="0"/>
        <v>0</v>
      </c>
      <c r="H13" s="19"/>
      <c r="K13" s="6" t="s">
        <v>10</v>
      </c>
      <c r="L13" s="34">
        <v>96.5</v>
      </c>
      <c r="M13" s="15">
        <v>2500</v>
      </c>
      <c r="N13" s="15">
        <f t="shared" si="3"/>
        <v>241250</v>
      </c>
      <c r="O13" s="6"/>
      <c r="P13" s="15">
        <v>2500</v>
      </c>
      <c r="Q13" s="15">
        <f t="shared" si="1"/>
        <v>0</v>
      </c>
    </row>
    <row r="14" spans="1:17" ht="15.75" x14ac:dyDescent="0.25">
      <c r="A14" s="6" t="s">
        <v>11</v>
      </c>
      <c r="B14" s="34">
        <v>44</v>
      </c>
      <c r="C14" s="15">
        <v>3500</v>
      </c>
      <c r="D14" s="15">
        <f t="shared" si="2"/>
        <v>154000</v>
      </c>
      <c r="E14" s="6"/>
      <c r="F14" s="15">
        <v>3500</v>
      </c>
      <c r="G14" s="15">
        <f t="shared" si="0"/>
        <v>0</v>
      </c>
      <c r="H14" s="19"/>
      <c r="K14" s="6" t="s">
        <v>11</v>
      </c>
      <c r="L14" s="34">
        <v>44</v>
      </c>
      <c r="M14" s="15">
        <v>3500</v>
      </c>
      <c r="N14" s="15">
        <f t="shared" si="3"/>
        <v>154000</v>
      </c>
      <c r="O14" s="6"/>
      <c r="P14" s="15">
        <v>3500</v>
      </c>
      <c r="Q14" s="15">
        <f t="shared" si="1"/>
        <v>0</v>
      </c>
    </row>
    <row r="15" spans="1:17" ht="15.75" x14ac:dyDescent="0.25">
      <c r="A15" s="6" t="s">
        <v>8</v>
      </c>
      <c r="B15" s="34">
        <v>25</v>
      </c>
      <c r="C15" s="15">
        <v>4000</v>
      </c>
      <c r="D15" s="15">
        <f t="shared" si="2"/>
        <v>100000</v>
      </c>
      <c r="E15" s="6"/>
      <c r="F15" s="15">
        <v>4000</v>
      </c>
      <c r="G15" s="15">
        <f t="shared" si="0"/>
        <v>0</v>
      </c>
      <c r="H15" s="19"/>
      <c r="K15" s="6" t="s">
        <v>8</v>
      </c>
      <c r="L15" s="34">
        <v>145</v>
      </c>
      <c r="M15" s="15">
        <v>4000</v>
      </c>
      <c r="N15" s="15">
        <f t="shared" si="3"/>
        <v>580000</v>
      </c>
      <c r="O15" s="6"/>
      <c r="P15" s="15">
        <v>4000</v>
      </c>
      <c r="Q15" s="15">
        <f t="shared" si="1"/>
        <v>0</v>
      </c>
    </row>
    <row r="16" spans="1:17" ht="15.75" x14ac:dyDescent="0.25">
      <c r="A16" s="6" t="s">
        <v>6</v>
      </c>
      <c r="B16" s="34"/>
      <c r="C16" s="15">
        <v>4000</v>
      </c>
      <c r="D16" s="15">
        <f t="shared" si="2"/>
        <v>0</v>
      </c>
      <c r="E16" s="6"/>
      <c r="F16" s="15">
        <v>4000</v>
      </c>
      <c r="G16" s="15">
        <f t="shared" si="0"/>
        <v>0</v>
      </c>
      <c r="H16" s="19"/>
      <c r="K16" s="6" t="s">
        <v>6</v>
      </c>
      <c r="L16" s="34"/>
      <c r="M16" s="15">
        <v>4000</v>
      </c>
      <c r="N16" s="15">
        <f t="shared" si="3"/>
        <v>0</v>
      </c>
      <c r="O16" s="6"/>
      <c r="P16" s="15">
        <v>4000</v>
      </c>
      <c r="Q16" s="15">
        <f t="shared" si="1"/>
        <v>0</v>
      </c>
    </row>
    <row r="17" spans="1:17" ht="15.75" x14ac:dyDescent="0.25">
      <c r="A17" s="6" t="s">
        <v>4</v>
      </c>
      <c r="B17" s="34">
        <v>139</v>
      </c>
      <c r="C17" s="15">
        <v>1000</v>
      </c>
      <c r="D17" s="15">
        <f t="shared" si="2"/>
        <v>139000</v>
      </c>
      <c r="E17" s="6"/>
      <c r="F17" s="15">
        <v>1000</v>
      </c>
      <c r="G17" s="15">
        <f t="shared" si="0"/>
        <v>0</v>
      </c>
      <c r="H17" s="19"/>
      <c r="K17" s="6" t="s">
        <v>4</v>
      </c>
      <c r="L17" s="34">
        <v>139</v>
      </c>
      <c r="M17" s="15">
        <v>1000</v>
      </c>
      <c r="N17" s="15">
        <f t="shared" si="3"/>
        <v>139000</v>
      </c>
      <c r="O17" s="6"/>
      <c r="P17" s="15">
        <v>1000</v>
      </c>
      <c r="Q17" s="15">
        <f t="shared" si="1"/>
        <v>0</v>
      </c>
    </row>
    <row r="18" spans="1:17" ht="15.75" x14ac:dyDescent="0.25">
      <c r="A18" s="6" t="s">
        <v>1</v>
      </c>
      <c r="B18" s="34">
        <v>48</v>
      </c>
      <c r="C18" s="15">
        <v>2500</v>
      </c>
      <c r="D18" s="15">
        <f t="shared" si="2"/>
        <v>120000</v>
      </c>
      <c r="E18" s="6"/>
      <c r="F18" s="15">
        <v>2500</v>
      </c>
      <c r="G18" s="15">
        <f t="shared" si="0"/>
        <v>0</v>
      </c>
      <c r="H18" s="19"/>
      <c r="K18" s="6" t="s">
        <v>1</v>
      </c>
      <c r="L18" s="34">
        <v>48</v>
      </c>
      <c r="M18" s="15">
        <v>2500</v>
      </c>
      <c r="N18" s="15">
        <f t="shared" si="3"/>
        <v>120000</v>
      </c>
      <c r="O18" s="6"/>
      <c r="P18" s="15">
        <v>2500</v>
      </c>
      <c r="Q18" s="15">
        <f t="shared" si="1"/>
        <v>0</v>
      </c>
    </row>
    <row r="19" spans="1:17" ht="15.75" x14ac:dyDescent="0.25">
      <c r="A19" s="5">
        <v>887</v>
      </c>
      <c r="B19" s="34">
        <v>56</v>
      </c>
      <c r="C19" s="15">
        <v>3000</v>
      </c>
      <c r="D19" s="15">
        <f t="shared" si="2"/>
        <v>168000</v>
      </c>
      <c r="E19" s="6"/>
      <c r="F19" s="15">
        <v>3000</v>
      </c>
      <c r="G19" s="15">
        <f t="shared" si="0"/>
        <v>0</v>
      </c>
      <c r="H19" s="19"/>
      <c r="K19" s="5">
        <v>887</v>
      </c>
      <c r="L19" s="34">
        <v>56</v>
      </c>
      <c r="M19" s="15">
        <v>3000</v>
      </c>
      <c r="N19" s="15">
        <f t="shared" si="3"/>
        <v>168000</v>
      </c>
      <c r="O19" s="6"/>
      <c r="P19" s="15">
        <v>3000</v>
      </c>
      <c r="Q19" s="15">
        <f t="shared" si="1"/>
        <v>0</v>
      </c>
    </row>
    <row r="20" spans="1:17" ht="15.75" x14ac:dyDescent="0.25">
      <c r="A20" s="5" t="s">
        <v>53</v>
      </c>
      <c r="B20" s="34">
        <v>18.5</v>
      </c>
      <c r="C20" s="15">
        <v>2000</v>
      </c>
      <c r="D20" s="15">
        <f t="shared" si="2"/>
        <v>37000</v>
      </c>
      <c r="E20" s="6"/>
      <c r="F20" s="15">
        <v>2000</v>
      </c>
      <c r="G20" s="15">
        <f t="shared" si="0"/>
        <v>0</v>
      </c>
      <c r="H20" s="19"/>
      <c r="K20" s="5" t="s">
        <v>53</v>
      </c>
      <c r="L20" s="34">
        <v>61.5</v>
      </c>
      <c r="M20" s="15">
        <v>2000</v>
      </c>
      <c r="N20" s="15">
        <f t="shared" si="3"/>
        <v>123000</v>
      </c>
      <c r="O20" s="6"/>
      <c r="P20" s="15">
        <v>2000</v>
      </c>
      <c r="Q20" s="15">
        <f t="shared" si="1"/>
        <v>0</v>
      </c>
    </row>
    <row r="21" spans="1:17" ht="15.75" x14ac:dyDescent="0.25">
      <c r="A21" s="5" t="s">
        <v>54</v>
      </c>
      <c r="B21" s="34">
        <v>10.5</v>
      </c>
      <c r="C21" s="15">
        <v>3500</v>
      </c>
      <c r="D21" s="15">
        <f t="shared" si="2"/>
        <v>36750</v>
      </c>
      <c r="E21" s="6"/>
      <c r="F21" s="15">
        <v>3500</v>
      </c>
      <c r="G21" s="15">
        <f t="shared" si="0"/>
        <v>0</v>
      </c>
      <c r="H21" s="19"/>
      <c r="K21" s="5" t="s">
        <v>54</v>
      </c>
      <c r="L21" s="34">
        <v>10.5</v>
      </c>
      <c r="M21" s="15">
        <v>3500</v>
      </c>
      <c r="N21" s="15">
        <f t="shared" si="3"/>
        <v>36750</v>
      </c>
      <c r="O21" s="6"/>
      <c r="P21" s="15">
        <v>3500</v>
      </c>
      <c r="Q21" s="15">
        <f t="shared" si="1"/>
        <v>0</v>
      </c>
    </row>
    <row r="22" spans="1:17" ht="15.75" x14ac:dyDescent="0.25">
      <c r="A22" s="5" t="s">
        <v>55</v>
      </c>
      <c r="B22" s="34">
        <v>0</v>
      </c>
      <c r="C22" s="15">
        <v>600</v>
      </c>
      <c r="D22" s="15">
        <v>0</v>
      </c>
      <c r="E22" s="6">
        <v>27</v>
      </c>
      <c r="F22" s="15">
        <v>600</v>
      </c>
      <c r="G22" s="15">
        <f t="shared" si="0"/>
        <v>16200</v>
      </c>
      <c r="H22" s="19"/>
      <c r="K22" s="5" t="s">
        <v>55</v>
      </c>
      <c r="L22" s="34">
        <v>78.5</v>
      </c>
      <c r="M22" s="15">
        <v>600</v>
      </c>
      <c r="N22" s="15">
        <v>0</v>
      </c>
      <c r="O22" s="6"/>
      <c r="P22" s="15">
        <v>600</v>
      </c>
      <c r="Q22" s="15">
        <f t="shared" si="1"/>
        <v>0</v>
      </c>
    </row>
    <row r="23" spans="1:17" ht="15.75" x14ac:dyDescent="0.25">
      <c r="A23" s="5" t="s">
        <v>56</v>
      </c>
      <c r="B23" s="34">
        <v>10</v>
      </c>
      <c r="C23" s="15">
        <v>100</v>
      </c>
      <c r="D23" s="15">
        <v>0</v>
      </c>
      <c r="E23" s="6"/>
      <c r="F23" s="15">
        <v>100</v>
      </c>
      <c r="G23" s="15">
        <f t="shared" si="0"/>
        <v>0</v>
      </c>
      <c r="H23" s="19"/>
      <c r="K23" s="5" t="s">
        <v>56</v>
      </c>
      <c r="L23" s="34">
        <v>66</v>
      </c>
      <c r="M23" s="15">
        <v>100</v>
      </c>
      <c r="N23" s="15">
        <v>0</v>
      </c>
      <c r="O23" s="6"/>
      <c r="P23" s="15">
        <v>100</v>
      </c>
      <c r="Q23" s="15">
        <f t="shared" si="1"/>
        <v>0</v>
      </c>
    </row>
    <row r="24" spans="1:17" ht="15.75" x14ac:dyDescent="0.25">
      <c r="A24" s="5" t="s">
        <v>57</v>
      </c>
      <c r="B24" s="34">
        <v>0</v>
      </c>
      <c r="C24" s="15">
        <v>400</v>
      </c>
      <c r="D24" s="15">
        <v>0</v>
      </c>
      <c r="E24" s="6"/>
      <c r="F24" s="15">
        <v>400</v>
      </c>
      <c r="G24" s="15">
        <f t="shared" si="0"/>
        <v>0</v>
      </c>
      <c r="H24" s="19"/>
      <c r="K24" s="5" t="s">
        <v>57</v>
      </c>
      <c r="L24" s="34">
        <v>51</v>
      </c>
      <c r="M24" s="15">
        <v>400</v>
      </c>
      <c r="N24" s="15">
        <v>0</v>
      </c>
      <c r="O24" s="6"/>
      <c r="P24" s="15">
        <v>400</v>
      </c>
      <c r="Q24" s="15">
        <f t="shared" si="1"/>
        <v>0</v>
      </c>
    </row>
    <row r="25" spans="1:17" ht="15.75" x14ac:dyDescent="0.25">
      <c r="A25" s="12" t="s">
        <v>36</v>
      </c>
      <c r="B25" s="13">
        <f>SUM(B4:B24)</f>
        <v>953.95</v>
      </c>
      <c r="C25" s="16"/>
      <c r="D25" s="16">
        <f>SUM(D4:D24)</f>
        <v>2311075</v>
      </c>
      <c r="E25" s="13">
        <f>SUM(E4:E24)</f>
        <v>35</v>
      </c>
      <c r="F25" s="16"/>
      <c r="G25" s="13">
        <f>SUM(G4:G24)</f>
        <v>44200</v>
      </c>
      <c r="H25" s="20"/>
      <c r="K25" s="12" t="s">
        <v>64</v>
      </c>
      <c r="L25" s="13">
        <f>SUM(L4:L24)</f>
        <v>1469.45</v>
      </c>
      <c r="M25" s="16"/>
      <c r="N25" s="16">
        <f>SUM(N4:N24)</f>
        <v>3461575</v>
      </c>
      <c r="O25" s="13">
        <f>SUM(O4:O24)</f>
        <v>8</v>
      </c>
      <c r="P25" s="16"/>
      <c r="Q25" s="16">
        <f>SUM(Q4:Q24)</f>
        <v>28000</v>
      </c>
    </row>
    <row r="26" spans="1:17" ht="15.75" x14ac:dyDescent="0.25">
      <c r="A26" s="12"/>
      <c r="B26" s="13"/>
      <c r="C26" s="13"/>
      <c r="D26" s="16"/>
      <c r="E26" s="13"/>
      <c r="F26" s="13"/>
      <c r="G26" s="16"/>
      <c r="H26" s="1"/>
      <c r="K26" s="12" t="s">
        <v>65</v>
      </c>
      <c r="L26" s="13">
        <v>943.95</v>
      </c>
      <c r="M26" s="13"/>
      <c r="N26" s="16">
        <v>2311075</v>
      </c>
      <c r="O26" s="13">
        <v>8</v>
      </c>
      <c r="P26" s="13"/>
      <c r="Q26" s="16">
        <v>28000</v>
      </c>
    </row>
    <row r="27" spans="1:17" ht="15.75" x14ac:dyDescent="0.25">
      <c r="A27" s="12" t="s">
        <v>23</v>
      </c>
      <c r="B27" s="13"/>
      <c r="C27" s="12"/>
      <c r="D27" s="16"/>
      <c r="E27" s="12"/>
      <c r="F27" s="12"/>
      <c r="G27" s="16">
        <f>G25-G26</f>
        <v>44200</v>
      </c>
      <c r="H27" s="1"/>
      <c r="K27" s="12" t="s">
        <v>66</v>
      </c>
      <c r="L27" s="13">
        <f>L25-L26</f>
        <v>525.5</v>
      </c>
      <c r="M27" s="12"/>
      <c r="N27" s="16">
        <f>N25-N26</f>
        <v>1150500</v>
      </c>
      <c r="O27" s="13">
        <f>O25-O26</f>
        <v>0</v>
      </c>
      <c r="P27" s="12"/>
      <c r="Q27" s="13">
        <f>Q25-Q26</f>
        <v>0</v>
      </c>
    </row>
    <row r="28" spans="1:17" ht="15.75" x14ac:dyDescent="0.25">
      <c r="A28" s="1"/>
      <c r="B28" s="1"/>
      <c r="C28" s="1"/>
      <c r="D28" s="1"/>
      <c r="E28" s="1"/>
      <c r="F28" s="1"/>
      <c r="G28" s="1"/>
      <c r="H28" s="1"/>
      <c r="K28" s="1"/>
      <c r="L28" s="1"/>
      <c r="M28" s="1"/>
      <c r="N28" s="1"/>
      <c r="O28" s="1"/>
      <c r="P28" s="1"/>
      <c r="Q28" s="1"/>
    </row>
    <row r="31" spans="1:17" ht="15.75" x14ac:dyDescent="0.25">
      <c r="A31" s="1"/>
      <c r="B31" s="14" t="s">
        <v>59</v>
      </c>
      <c r="C31" s="1"/>
      <c r="D31" s="14" t="s">
        <v>25</v>
      </c>
      <c r="E31" s="35" t="s">
        <v>62</v>
      </c>
      <c r="F31" s="1"/>
      <c r="G31" s="1"/>
    </row>
    <row r="32" spans="1:17" ht="15.75" x14ac:dyDescent="0.25">
      <c r="A32" s="9" t="s">
        <v>22</v>
      </c>
      <c r="B32" s="10" t="s">
        <v>17</v>
      </c>
      <c r="C32" s="2" t="s">
        <v>50</v>
      </c>
      <c r="D32" s="3"/>
      <c r="E32" s="10" t="s">
        <v>21</v>
      </c>
      <c r="F32" s="2"/>
      <c r="G32" s="3"/>
    </row>
    <row r="33" spans="1:7" ht="15.75" x14ac:dyDescent="0.25">
      <c r="A33" s="8"/>
      <c r="B33" s="4" t="s">
        <v>18</v>
      </c>
      <c r="C33" s="8" t="s">
        <v>19</v>
      </c>
      <c r="D33" s="11" t="s">
        <v>20</v>
      </c>
      <c r="E33" s="8" t="s">
        <v>18</v>
      </c>
      <c r="F33" s="8" t="s">
        <v>19</v>
      </c>
      <c r="G33" s="11" t="s">
        <v>20</v>
      </c>
    </row>
    <row r="34" spans="1:7" ht="15.75" x14ac:dyDescent="0.25">
      <c r="A34" s="5" t="s">
        <v>52</v>
      </c>
      <c r="B34" s="33">
        <v>16</v>
      </c>
      <c r="C34" s="15">
        <v>3500</v>
      </c>
      <c r="D34" s="15">
        <f>B34*C34</f>
        <v>56000</v>
      </c>
      <c r="E34" s="1"/>
      <c r="F34" s="15">
        <v>3500</v>
      </c>
      <c r="G34" s="15">
        <f t="shared" ref="G34:G54" si="4">E34*F34</f>
        <v>0</v>
      </c>
    </row>
    <row r="35" spans="1:7" ht="15.75" x14ac:dyDescent="0.25">
      <c r="A35" s="6" t="s">
        <v>7</v>
      </c>
      <c r="B35" s="34"/>
      <c r="C35" s="15">
        <v>1000</v>
      </c>
      <c r="D35" s="15">
        <f t="shared" ref="D35:D51" si="5">B35*C35</f>
        <v>0</v>
      </c>
      <c r="E35" s="6"/>
      <c r="F35" s="15">
        <v>1000</v>
      </c>
      <c r="G35" s="15">
        <f t="shared" si="4"/>
        <v>0</v>
      </c>
    </row>
    <row r="36" spans="1:7" ht="15.75" x14ac:dyDescent="0.25">
      <c r="A36" s="6" t="s">
        <v>9</v>
      </c>
      <c r="B36" s="34">
        <v>48</v>
      </c>
      <c r="C36" s="15">
        <v>3500</v>
      </c>
      <c r="D36" s="15">
        <f t="shared" si="5"/>
        <v>168000</v>
      </c>
      <c r="E36" s="6"/>
      <c r="F36" s="15">
        <v>3500</v>
      </c>
      <c r="G36" s="15">
        <f t="shared" si="4"/>
        <v>0</v>
      </c>
    </row>
    <row r="37" spans="1:7" ht="15.75" x14ac:dyDescent="0.25">
      <c r="A37" s="6" t="s">
        <v>5</v>
      </c>
      <c r="B37" s="34"/>
      <c r="C37" s="15">
        <v>3500</v>
      </c>
      <c r="D37" s="15">
        <f t="shared" si="5"/>
        <v>0</v>
      </c>
      <c r="E37" s="6"/>
      <c r="F37" s="15">
        <v>3500</v>
      </c>
      <c r="G37" s="15">
        <f t="shared" si="4"/>
        <v>0</v>
      </c>
    </row>
    <row r="38" spans="1:7" ht="15.75" x14ac:dyDescent="0.25">
      <c r="A38" s="6" t="s">
        <v>3</v>
      </c>
      <c r="B38" s="34">
        <v>103</v>
      </c>
      <c r="C38" s="15">
        <v>3500</v>
      </c>
      <c r="D38" s="15">
        <f t="shared" si="5"/>
        <v>360500</v>
      </c>
      <c r="E38" s="6"/>
      <c r="F38" s="15">
        <v>3500</v>
      </c>
      <c r="G38" s="15">
        <f t="shared" si="4"/>
        <v>0</v>
      </c>
    </row>
    <row r="39" spans="1:7" ht="15.75" x14ac:dyDescent="0.25">
      <c r="A39" s="6" t="s">
        <v>12</v>
      </c>
      <c r="B39" s="34"/>
      <c r="C39" s="15">
        <v>1000</v>
      </c>
      <c r="D39" s="15">
        <f t="shared" si="5"/>
        <v>0</v>
      </c>
      <c r="E39" s="6"/>
      <c r="F39" s="15">
        <v>1000</v>
      </c>
      <c r="G39" s="15">
        <f t="shared" si="4"/>
        <v>0</v>
      </c>
    </row>
    <row r="40" spans="1:7" ht="15.75" x14ac:dyDescent="0.25">
      <c r="A40" s="5" t="s">
        <v>60</v>
      </c>
      <c r="B40" s="34"/>
      <c r="C40" s="15">
        <v>1000</v>
      </c>
      <c r="D40" s="15">
        <f t="shared" si="5"/>
        <v>0</v>
      </c>
      <c r="E40" s="6"/>
      <c r="F40" s="15">
        <v>1000</v>
      </c>
      <c r="G40" s="15">
        <f t="shared" si="4"/>
        <v>0</v>
      </c>
    </row>
    <row r="41" spans="1:7" ht="15.75" x14ac:dyDescent="0.25">
      <c r="A41" s="5" t="s">
        <v>61</v>
      </c>
      <c r="B41" s="34"/>
      <c r="C41" s="15">
        <v>1000</v>
      </c>
      <c r="D41" s="15">
        <f t="shared" si="5"/>
        <v>0</v>
      </c>
      <c r="E41" s="6"/>
      <c r="F41" s="15">
        <v>1000</v>
      </c>
      <c r="G41" s="15">
        <f t="shared" si="4"/>
        <v>0</v>
      </c>
    </row>
    <row r="42" spans="1:7" ht="15.75" x14ac:dyDescent="0.25">
      <c r="A42" s="6" t="s">
        <v>2</v>
      </c>
      <c r="B42" s="34"/>
      <c r="C42" s="15">
        <v>3000</v>
      </c>
      <c r="D42" s="15">
        <f t="shared" si="5"/>
        <v>0</v>
      </c>
      <c r="E42" s="6"/>
      <c r="F42" s="15">
        <v>3000</v>
      </c>
      <c r="G42" s="15">
        <f t="shared" si="4"/>
        <v>0</v>
      </c>
    </row>
    <row r="43" spans="1:7" ht="15.75" x14ac:dyDescent="0.25">
      <c r="A43" s="6" t="s">
        <v>10</v>
      </c>
      <c r="B43" s="34"/>
      <c r="C43" s="15">
        <v>2500</v>
      </c>
      <c r="D43" s="15">
        <f t="shared" si="5"/>
        <v>0</v>
      </c>
      <c r="E43" s="6"/>
      <c r="F43" s="15">
        <v>2500</v>
      </c>
      <c r="G43" s="15">
        <f t="shared" si="4"/>
        <v>0</v>
      </c>
    </row>
    <row r="44" spans="1:7" ht="15.75" x14ac:dyDescent="0.25">
      <c r="A44" s="6" t="s">
        <v>11</v>
      </c>
      <c r="B44" s="34"/>
      <c r="C44" s="15">
        <v>3500</v>
      </c>
      <c r="D44" s="15">
        <f t="shared" si="5"/>
        <v>0</v>
      </c>
      <c r="E44" s="6"/>
      <c r="F44" s="15">
        <v>3500</v>
      </c>
      <c r="G44" s="15">
        <f t="shared" si="4"/>
        <v>0</v>
      </c>
    </row>
    <row r="45" spans="1:7" ht="15.75" x14ac:dyDescent="0.25">
      <c r="A45" s="6" t="s">
        <v>8</v>
      </c>
      <c r="B45" s="34">
        <v>120</v>
      </c>
      <c r="C45" s="15">
        <v>4000</v>
      </c>
      <c r="D45" s="15">
        <f t="shared" si="5"/>
        <v>480000</v>
      </c>
      <c r="E45" s="6"/>
      <c r="F45" s="15">
        <v>4000</v>
      </c>
      <c r="G45" s="15">
        <f t="shared" si="4"/>
        <v>0</v>
      </c>
    </row>
    <row r="46" spans="1:7" ht="15.75" x14ac:dyDescent="0.25">
      <c r="A46" s="6" t="s">
        <v>6</v>
      </c>
      <c r="B46" s="34"/>
      <c r="C46" s="15">
        <v>4000</v>
      </c>
      <c r="D46" s="15">
        <f t="shared" si="5"/>
        <v>0</v>
      </c>
      <c r="E46" s="6"/>
      <c r="F46" s="15">
        <v>4000</v>
      </c>
      <c r="G46" s="15">
        <f t="shared" si="4"/>
        <v>0</v>
      </c>
    </row>
    <row r="47" spans="1:7" ht="15.75" x14ac:dyDescent="0.25">
      <c r="A47" s="6" t="s">
        <v>4</v>
      </c>
      <c r="B47" s="34"/>
      <c r="C47" s="15">
        <v>1000</v>
      </c>
      <c r="D47" s="15">
        <f t="shared" si="5"/>
        <v>0</v>
      </c>
      <c r="E47" s="6"/>
      <c r="F47" s="15">
        <v>1000</v>
      </c>
      <c r="G47" s="15">
        <f t="shared" si="4"/>
        <v>0</v>
      </c>
    </row>
    <row r="48" spans="1:7" ht="15.75" x14ac:dyDescent="0.25">
      <c r="A48" s="6" t="s">
        <v>1</v>
      </c>
      <c r="B48" s="34"/>
      <c r="C48" s="15">
        <v>2500</v>
      </c>
      <c r="D48" s="15">
        <f t="shared" si="5"/>
        <v>0</v>
      </c>
      <c r="E48" s="6"/>
      <c r="F48" s="15">
        <v>2500</v>
      </c>
      <c r="G48" s="15">
        <f t="shared" si="4"/>
        <v>0</v>
      </c>
    </row>
    <row r="49" spans="1:7" ht="15.75" x14ac:dyDescent="0.25">
      <c r="A49" s="5">
        <v>887</v>
      </c>
      <c r="B49" s="34"/>
      <c r="C49" s="15">
        <v>3000</v>
      </c>
      <c r="D49" s="15">
        <f t="shared" si="5"/>
        <v>0</v>
      </c>
      <c r="E49" s="6"/>
      <c r="F49" s="15">
        <v>3000</v>
      </c>
      <c r="G49" s="15">
        <f t="shared" si="4"/>
        <v>0</v>
      </c>
    </row>
    <row r="50" spans="1:7" ht="15.75" x14ac:dyDescent="0.25">
      <c r="A50" s="5" t="s">
        <v>53</v>
      </c>
      <c r="B50" s="34">
        <v>43</v>
      </c>
      <c r="C50" s="15">
        <v>2000</v>
      </c>
      <c r="D50" s="15">
        <f t="shared" si="5"/>
        <v>86000</v>
      </c>
      <c r="E50" s="6"/>
      <c r="F50" s="15">
        <v>2000</v>
      </c>
      <c r="G50" s="15">
        <f t="shared" si="4"/>
        <v>0</v>
      </c>
    </row>
    <row r="51" spans="1:7" ht="15.75" x14ac:dyDescent="0.25">
      <c r="A51" s="5" t="s">
        <v>54</v>
      </c>
      <c r="B51" s="34"/>
      <c r="C51" s="15">
        <v>3500</v>
      </c>
      <c r="D51" s="15">
        <f t="shared" si="5"/>
        <v>0</v>
      </c>
      <c r="E51" s="6"/>
      <c r="F51" s="15">
        <v>3500</v>
      </c>
      <c r="G51" s="15">
        <f t="shared" si="4"/>
        <v>0</v>
      </c>
    </row>
    <row r="52" spans="1:7" ht="15.75" x14ac:dyDescent="0.25">
      <c r="A52" s="5" t="s">
        <v>55</v>
      </c>
      <c r="B52" s="34">
        <v>78.5</v>
      </c>
      <c r="C52" s="15">
        <v>600</v>
      </c>
      <c r="D52" s="15">
        <v>0</v>
      </c>
      <c r="E52" s="6"/>
      <c r="F52" s="15">
        <v>600</v>
      </c>
      <c r="G52" s="15">
        <f t="shared" si="4"/>
        <v>0</v>
      </c>
    </row>
    <row r="53" spans="1:7" ht="15.75" x14ac:dyDescent="0.25">
      <c r="A53" s="5" t="s">
        <v>56</v>
      </c>
      <c r="B53" s="34">
        <v>56</v>
      </c>
      <c r="C53" s="15">
        <v>100</v>
      </c>
      <c r="D53" s="15">
        <v>0</v>
      </c>
      <c r="E53" s="6"/>
      <c r="F53" s="15">
        <v>100</v>
      </c>
      <c r="G53" s="15">
        <f t="shared" si="4"/>
        <v>0</v>
      </c>
    </row>
    <row r="54" spans="1:7" ht="15.75" x14ac:dyDescent="0.25">
      <c r="A54" s="5" t="s">
        <v>57</v>
      </c>
      <c r="B54" s="34">
        <v>51</v>
      </c>
      <c r="C54" s="15">
        <v>400</v>
      </c>
      <c r="D54" s="15">
        <v>0</v>
      </c>
      <c r="E54" s="6"/>
      <c r="F54" s="15">
        <v>400</v>
      </c>
      <c r="G54" s="15">
        <f t="shared" si="4"/>
        <v>0</v>
      </c>
    </row>
    <row r="55" spans="1:7" ht="15.75" x14ac:dyDescent="0.25">
      <c r="A55" s="12" t="s">
        <v>36</v>
      </c>
      <c r="B55" s="13">
        <f>SUM(B34:B54)</f>
        <v>515.5</v>
      </c>
      <c r="C55" s="16"/>
      <c r="D55" s="16">
        <f>SUM(D34:D54)</f>
        <v>1150500</v>
      </c>
      <c r="E55" s="13">
        <f>SUM(E34:E54)</f>
        <v>0</v>
      </c>
      <c r="F55" s="16"/>
      <c r="G55" s="13">
        <f>SUM(G34:G54)</f>
        <v>0</v>
      </c>
    </row>
    <row r="56" spans="1:7" ht="15.75" x14ac:dyDescent="0.25">
      <c r="A56" s="12"/>
      <c r="B56" s="13"/>
      <c r="C56" s="13"/>
      <c r="D56" s="16"/>
      <c r="E56" s="13"/>
      <c r="F56" s="13"/>
      <c r="G56" s="16"/>
    </row>
    <row r="57" spans="1:7" ht="15.75" x14ac:dyDescent="0.25">
      <c r="A57" s="12" t="s">
        <v>23</v>
      </c>
      <c r="B57" s="13"/>
      <c r="C57" s="12"/>
      <c r="D57" s="16"/>
      <c r="E57" s="12"/>
      <c r="F57" s="12"/>
      <c r="G57" s="16">
        <f>G55-G56</f>
        <v>0</v>
      </c>
    </row>
    <row r="58" spans="1:7" ht="15.75" x14ac:dyDescent="0.25">
      <c r="A58" s="1"/>
      <c r="B58" s="1"/>
      <c r="C58" s="1"/>
      <c r="D58" s="1"/>
      <c r="E58" s="1"/>
      <c r="F58" s="1"/>
      <c r="G58" s="1"/>
    </row>
  </sheetData>
  <pageMargins left="0.7" right="0.7" top="0.75" bottom="0.75" header="0.3" footer="0.3"/>
  <pageSetup paperSize="9" scale="4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X57"/>
  <sheetViews>
    <sheetView zoomScale="85" zoomScaleNormal="85" workbookViewId="0">
      <selection activeCell="Q35" sqref="Q35"/>
    </sheetView>
  </sheetViews>
  <sheetFormatPr defaultRowHeight="15" x14ac:dyDescent="0.25"/>
  <cols>
    <col min="2" max="2" width="26" customWidth="1"/>
    <col min="5" max="5" width="13.5703125" customWidth="1"/>
    <col min="6" max="6" width="7" customWidth="1"/>
    <col min="8" max="8" width="12.7109375" customWidth="1"/>
    <col min="10" max="10" width="25.28515625" customWidth="1"/>
    <col min="13" max="13" width="14.28515625" customWidth="1"/>
    <col min="14" max="14" width="9" customWidth="1"/>
    <col min="16" max="16" width="11.7109375" customWidth="1"/>
    <col min="17" max="17" width="11.140625" customWidth="1"/>
    <col min="19" max="19" width="13.5703125" customWidth="1"/>
  </cols>
  <sheetData>
    <row r="2" spans="1:24" ht="15.75" x14ac:dyDescent="0.25">
      <c r="B2" s="1"/>
      <c r="C2" s="14" t="s">
        <v>67</v>
      </c>
      <c r="D2" s="1"/>
      <c r="E2" s="14" t="s">
        <v>25</v>
      </c>
      <c r="F2" s="14" t="s">
        <v>63</v>
      </c>
      <c r="G2" s="1"/>
      <c r="H2" s="1"/>
      <c r="J2" s="1"/>
      <c r="K2" s="35" t="s">
        <v>67</v>
      </c>
      <c r="L2" s="1"/>
      <c r="M2" s="14" t="s">
        <v>25</v>
      </c>
      <c r="N2" s="1"/>
      <c r="O2" s="1"/>
      <c r="P2" s="1"/>
      <c r="Q2" s="14"/>
      <c r="R2" s="1"/>
      <c r="S2" s="1"/>
    </row>
    <row r="3" spans="1:24" ht="15.75" x14ac:dyDescent="0.25">
      <c r="A3" s="21"/>
      <c r="B3" s="9" t="s">
        <v>22</v>
      </c>
      <c r="C3" s="10" t="s">
        <v>17</v>
      </c>
      <c r="D3" s="2" t="s">
        <v>50</v>
      </c>
      <c r="E3" s="3"/>
      <c r="F3" s="10" t="s">
        <v>21</v>
      </c>
      <c r="G3" s="2"/>
      <c r="H3" s="3"/>
      <c r="J3" s="9" t="s">
        <v>22</v>
      </c>
      <c r="K3" s="10" t="s">
        <v>17</v>
      </c>
      <c r="L3" s="2" t="s">
        <v>50</v>
      </c>
      <c r="M3" s="3"/>
      <c r="N3" s="10" t="s">
        <v>21</v>
      </c>
      <c r="O3" s="2"/>
      <c r="P3" s="3"/>
      <c r="Q3" s="10" t="s">
        <v>17</v>
      </c>
      <c r="R3" s="2" t="s">
        <v>48</v>
      </c>
      <c r="S3" s="3"/>
    </row>
    <row r="4" spans="1:24" ht="15.75" x14ac:dyDescent="0.25">
      <c r="A4" s="21"/>
      <c r="B4" s="8"/>
      <c r="C4" s="4" t="s">
        <v>18</v>
      </c>
      <c r="D4" s="8" t="s">
        <v>19</v>
      </c>
      <c r="E4" s="11" t="s">
        <v>20</v>
      </c>
      <c r="F4" s="8" t="s">
        <v>18</v>
      </c>
      <c r="G4" s="8" t="s">
        <v>19</v>
      </c>
      <c r="H4" s="11" t="s">
        <v>20</v>
      </c>
      <c r="J4" s="8"/>
      <c r="K4" s="4" t="s">
        <v>18</v>
      </c>
      <c r="L4" s="8" t="s">
        <v>19</v>
      </c>
      <c r="M4" s="11" t="s">
        <v>20</v>
      </c>
      <c r="N4" s="8" t="s">
        <v>18</v>
      </c>
      <c r="O4" s="8" t="s">
        <v>19</v>
      </c>
      <c r="P4" s="11" t="s">
        <v>20</v>
      </c>
      <c r="Q4" s="8" t="s">
        <v>18</v>
      </c>
      <c r="R4" s="8" t="s">
        <v>19</v>
      </c>
      <c r="S4" s="11" t="s">
        <v>20</v>
      </c>
    </row>
    <row r="5" spans="1:24" ht="18.75" x14ac:dyDescent="0.3">
      <c r="A5" s="36">
        <v>271</v>
      </c>
      <c r="B5" s="5" t="s">
        <v>68</v>
      </c>
      <c r="C5" s="33">
        <v>48</v>
      </c>
      <c r="D5" s="45">
        <f>$V$5</f>
        <v>1750</v>
      </c>
      <c r="E5" s="15">
        <f>C5*D5</f>
        <v>84000</v>
      </c>
      <c r="F5" s="1">
        <v>81</v>
      </c>
      <c r="G5" s="45">
        <f>$V$5</f>
        <v>1750</v>
      </c>
      <c r="H5" s="15">
        <f t="shared" ref="H5:H27" si="0">F5*G5</f>
        <v>141750</v>
      </c>
      <c r="J5" s="5" t="s">
        <v>52</v>
      </c>
      <c r="K5" s="33">
        <v>48</v>
      </c>
      <c r="L5" s="45">
        <f>$V$5</f>
        <v>1750</v>
      </c>
      <c r="M5" s="15">
        <f>K5*L5</f>
        <v>84000</v>
      </c>
      <c r="N5" s="62">
        <v>33</v>
      </c>
      <c r="O5" s="45">
        <f>$V$5</f>
        <v>1750</v>
      </c>
      <c r="P5" s="15">
        <f t="shared" ref="P5:P27" si="1">N5*O5</f>
        <v>57750</v>
      </c>
      <c r="Q5" s="62">
        <v>24</v>
      </c>
      <c r="R5" s="45">
        <f>$V$5</f>
        <v>1750</v>
      </c>
      <c r="S5" s="15">
        <f t="shared" ref="S5:S27" si="2">Q5*R5</f>
        <v>42000</v>
      </c>
      <c r="V5" s="45">
        <f>W5</f>
        <v>1750</v>
      </c>
      <c r="W5" s="45">
        <f>X5/2</f>
        <v>1750</v>
      </c>
      <c r="X5" s="45">
        <v>3500</v>
      </c>
    </row>
    <row r="6" spans="1:24" ht="15.75" x14ac:dyDescent="0.25">
      <c r="A6" s="37"/>
      <c r="B6" s="6" t="s">
        <v>7</v>
      </c>
      <c r="C6" s="34">
        <v>204</v>
      </c>
      <c r="D6" s="45">
        <f>$V$6</f>
        <v>500</v>
      </c>
      <c r="E6" s="15">
        <f t="shared" ref="E6:E27" si="3">C6*D6</f>
        <v>102000</v>
      </c>
      <c r="F6" s="6"/>
      <c r="G6" s="45">
        <f>$V$6</f>
        <v>500</v>
      </c>
      <c r="H6" s="15">
        <f t="shared" si="0"/>
        <v>0</v>
      </c>
      <c r="J6" s="6" t="s">
        <v>7</v>
      </c>
      <c r="K6" s="34">
        <v>204</v>
      </c>
      <c r="L6" s="45">
        <f>$V$6</f>
        <v>500</v>
      </c>
      <c r="M6" s="15">
        <f t="shared" ref="M6:M27" si="4">K6*L6</f>
        <v>102000</v>
      </c>
      <c r="N6" s="6"/>
      <c r="O6" s="45">
        <f>$V$6</f>
        <v>500</v>
      </c>
      <c r="P6" s="15">
        <f t="shared" si="1"/>
        <v>0</v>
      </c>
      <c r="Q6" s="6"/>
      <c r="R6" s="45">
        <f>$V$6</f>
        <v>500</v>
      </c>
      <c r="S6" s="15">
        <f t="shared" si="2"/>
        <v>0</v>
      </c>
      <c r="V6" s="45">
        <f t="shared" ref="V6:V24" si="5">W6</f>
        <v>500</v>
      </c>
      <c r="W6" s="45">
        <f t="shared" ref="W6:W24" si="6">X6/2</f>
        <v>500</v>
      </c>
      <c r="X6" s="45">
        <v>1000</v>
      </c>
    </row>
    <row r="7" spans="1:24" ht="15.75" x14ac:dyDescent="0.25">
      <c r="A7" s="37"/>
      <c r="B7" s="6" t="s">
        <v>9</v>
      </c>
      <c r="C7" s="34">
        <v>24</v>
      </c>
      <c r="D7" s="45">
        <f>$V$7</f>
        <v>1750</v>
      </c>
      <c r="E7" s="15">
        <f t="shared" si="3"/>
        <v>42000</v>
      </c>
      <c r="F7" s="6"/>
      <c r="G7" s="45">
        <f>$V$7</f>
        <v>1750</v>
      </c>
      <c r="H7" s="15">
        <f t="shared" si="0"/>
        <v>0</v>
      </c>
      <c r="J7" s="6" t="s">
        <v>9</v>
      </c>
      <c r="K7" s="66">
        <v>24</v>
      </c>
      <c r="L7" s="45">
        <f>$V$7</f>
        <v>1750</v>
      </c>
      <c r="M7" s="15">
        <f t="shared" si="4"/>
        <v>42000</v>
      </c>
      <c r="N7" s="6"/>
      <c r="O7" s="45">
        <f>$V$7</f>
        <v>1750</v>
      </c>
      <c r="P7" s="15">
        <f t="shared" si="1"/>
        <v>0</v>
      </c>
      <c r="Q7" s="6"/>
      <c r="R7" s="45">
        <f>$V$7</f>
        <v>1750</v>
      </c>
      <c r="S7" s="15">
        <f t="shared" si="2"/>
        <v>0</v>
      </c>
      <c r="V7" s="45">
        <f t="shared" si="5"/>
        <v>1750</v>
      </c>
      <c r="W7" s="45">
        <f t="shared" si="6"/>
        <v>1750</v>
      </c>
      <c r="X7" s="45">
        <v>3500</v>
      </c>
    </row>
    <row r="8" spans="1:24" ht="18.75" x14ac:dyDescent="0.3">
      <c r="A8" s="36" t="s">
        <v>75</v>
      </c>
      <c r="B8" s="6" t="s">
        <v>5</v>
      </c>
      <c r="C8" s="34">
        <v>76</v>
      </c>
      <c r="D8" s="45">
        <f>$V$8</f>
        <v>1750</v>
      </c>
      <c r="E8" s="15">
        <f t="shared" si="3"/>
        <v>133000</v>
      </c>
      <c r="F8" s="6"/>
      <c r="G8" s="45">
        <f>$V$8</f>
        <v>1750</v>
      </c>
      <c r="H8" s="15">
        <f t="shared" si="0"/>
        <v>0</v>
      </c>
      <c r="J8" s="6" t="s">
        <v>5</v>
      </c>
      <c r="K8" s="61">
        <f>76-Q8</f>
        <v>52</v>
      </c>
      <c r="L8" s="45">
        <f>$V$8</f>
        <v>1750</v>
      </c>
      <c r="M8" s="15">
        <f t="shared" si="4"/>
        <v>91000</v>
      </c>
      <c r="N8" s="6"/>
      <c r="O8" s="45">
        <f>$V$8</f>
        <v>1750</v>
      </c>
      <c r="P8" s="15">
        <f t="shared" si="1"/>
        <v>0</v>
      </c>
      <c r="Q8" s="60">
        <v>24</v>
      </c>
      <c r="R8" s="45">
        <f>$V$8</f>
        <v>1750</v>
      </c>
      <c r="S8" s="15">
        <f t="shared" si="2"/>
        <v>42000</v>
      </c>
      <c r="V8" s="45">
        <f t="shared" si="5"/>
        <v>1750</v>
      </c>
      <c r="W8" s="45">
        <f t="shared" si="6"/>
        <v>1750</v>
      </c>
      <c r="X8" s="45">
        <v>3500</v>
      </c>
    </row>
    <row r="9" spans="1:24" ht="15.75" x14ac:dyDescent="0.25">
      <c r="A9" s="37"/>
      <c r="B9" s="6" t="s">
        <v>3</v>
      </c>
      <c r="C9" s="34">
        <v>146</v>
      </c>
      <c r="D9" s="45">
        <f>$V$9</f>
        <v>1750</v>
      </c>
      <c r="E9" s="15">
        <f t="shared" si="3"/>
        <v>255500</v>
      </c>
      <c r="F9" s="6"/>
      <c r="G9" s="45">
        <f>$V$9</f>
        <v>1750</v>
      </c>
      <c r="H9" s="15">
        <f t="shared" si="0"/>
        <v>0</v>
      </c>
      <c r="J9" s="6" t="s">
        <v>3</v>
      </c>
      <c r="K9" s="34">
        <v>146</v>
      </c>
      <c r="L9" s="45">
        <f>$V$9</f>
        <v>1750</v>
      </c>
      <c r="M9" s="15">
        <f t="shared" si="4"/>
        <v>255500</v>
      </c>
      <c r="N9" s="6"/>
      <c r="O9" s="45">
        <f>$V$9</f>
        <v>1750</v>
      </c>
      <c r="P9" s="15">
        <f t="shared" si="1"/>
        <v>0</v>
      </c>
      <c r="Q9" s="6"/>
      <c r="R9" s="45">
        <f>$V$9</f>
        <v>1750</v>
      </c>
      <c r="S9" s="15">
        <f t="shared" si="2"/>
        <v>0</v>
      </c>
      <c r="V9" s="45">
        <f t="shared" si="5"/>
        <v>1750</v>
      </c>
      <c r="W9" s="45">
        <f t="shared" si="6"/>
        <v>1750</v>
      </c>
      <c r="X9" s="45">
        <v>3500</v>
      </c>
    </row>
    <row r="10" spans="1:24" ht="15.75" x14ac:dyDescent="0.25">
      <c r="A10" s="37"/>
      <c r="B10" s="6" t="s">
        <v>69</v>
      </c>
      <c r="C10" s="34">
        <v>94.5</v>
      </c>
      <c r="D10" s="45">
        <f>$V$10</f>
        <v>500</v>
      </c>
      <c r="E10" s="15">
        <f t="shared" si="3"/>
        <v>47250</v>
      </c>
      <c r="F10" s="6"/>
      <c r="G10" s="45">
        <f>$V$10</f>
        <v>500</v>
      </c>
      <c r="H10" s="15">
        <f t="shared" si="0"/>
        <v>0</v>
      </c>
      <c r="J10" s="6" t="s">
        <v>12</v>
      </c>
      <c r="K10" s="34">
        <v>94.5</v>
      </c>
      <c r="L10" s="45">
        <f>$V$10</f>
        <v>500</v>
      </c>
      <c r="M10" s="15">
        <f t="shared" si="4"/>
        <v>47250</v>
      </c>
      <c r="N10" s="6"/>
      <c r="O10" s="45">
        <f>$V$10</f>
        <v>500</v>
      </c>
      <c r="P10" s="15">
        <f t="shared" si="1"/>
        <v>0</v>
      </c>
      <c r="Q10" s="6"/>
      <c r="R10" s="45">
        <f>$V$10</f>
        <v>500</v>
      </c>
      <c r="S10" s="15">
        <f t="shared" si="2"/>
        <v>0</v>
      </c>
      <c r="V10" s="45">
        <f t="shared" si="5"/>
        <v>500</v>
      </c>
      <c r="W10" s="45">
        <f t="shared" si="6"/>
        <v>500</v>
      </c>
      <c r="X10" s="45">
        <v>1000</v>
      </c>
    </row>
    <row r="11" spans="1:24" ht="15.75" x14ac:dyDescent="0.25">
      <c r="A11" s="37"/>
      <c r="B11" s="5" t="s">
        <v>60</v>
      </c>
      <c r="C11" s="34"/>
      <c r="D11" s="45">
        <f>$V$11</f>
        <v>500</v>
      </c>
      <c r="E11" s="15">
        <f t="shared" si="3"/>
        <v>0</v>
      </c>
      <c r="F11" s="6"/>
      <c r="G11" s="45">
        <f>$V$11</f>
        <v>500</v>
      </c>
      <c r="H11" s="15">
        <f t="shared" si="0"/>
        <v>0</v>
      </c>
      <c r="J11" s="5" t="s">
        <v>60</v>
      </c>
      <c r="K11" s="34"/>
      <c r="L11" s="45">
        <f>$V$11</f>
        <v>500</v>
      </c>
      <c r="M11" s="15">
        <f t="shared" si="4"/>
        <v>0</v>
      </c>
      <c r="N11" s="6"/>
      <c r="O11" s="45">
        <f>$V$11</f>
        <v>500</v>
      </c>
      <c r="P11" s="15">
        <f t="shared" si="1"/>
        <v>0</v>
      </c>
      <c r="Q11" s="6"/>
      <c r="R11" s="45">
        <f>$V$11</f>
        <v>500</v>
      </c>
      <c r="S11" s="15">
        <f t="shared" si="2"/>
        <v>0</v>
      </c>
      <c r="V11" s="45">
        <f t="shared" si="5"/>
        <v>500</v>
      </c>
      <c r="W11" s="45">
        <f t="shared" si="6"/>
        <v>500</v>
      </c>
      <c r="X11" s="45">
        <v>1000</v>
      </c>
    </row>
    <row r="12" spans="1:24" ht="15.75" x14ac:dyDescent="0.25">
      <c r="A12" s="37"/>
      <c r="B12" s="5" t="s">
        <v>70</v>
      </c>
      <c r="C12" s="34"/>
      <c r="D12" s="45">
        <f>$V$12</f>
        <v>500</v>
      </c>
      <c r="E12" s="15">
        <f t="shared" si="3"/>
        <v>0</v>
      </c>
      <c r="F12" s="6"/>
      <c r="G12" s="45">
        <f>$V$12</f>
        <v>500</v>
      </c>
      <c r="H12" s="15">
        <f t="shared" si="0"/>
        <v>0</v>
      </c>
      <c r="J12" s="5" t="s">
        <v>61</v>
      </c>
      <c r="K12" s="34"/>
      <c r="L12" s="45">
        <f>$V$12</f>
        <v>500</v>
      </c>
      <c r="M12" s="15">
        <f t="shared" si="4"/>
        <v>0</v>
      </c>
      <c r="N12" s="6"/>
      <c r="O12" s="45">
        <f>$V$12</f>
        <v>500</v>
      </c>
      <c r="P12" s="15">
        <f t="shared" si="1"/>
        <v>0</v>
      </c>
      <c r="Q12" s="6"/>
      <c r="R12" s="45">
        <f>$V$12</f>
        <v>500</v>
      </c>
      <c r="S12" s="15">
        <f t="shared" si="2"/>
        <v>0</v>
      </c>
      <c r="V12" s="45">
        <f t="shared" si="5"/>
        <v>500</v>
      </c>
      <c r="W12" s="45">
        <f t="shared" si="6"/>
        <v>500</v>
      </c>
      <c r="X12" s="45">
        <v>1000</v>
      </c>
    </row>
    <row r="13" spans="1:24" ht="15.75" x14ac:dyDescent="0.25">
      <c r="A13" s="37"/>
      <c r="B13" s="6" t="s">
        <v>2</v>
      </c>
      <c r="C13" s="34"/>
      <c r="D13" s="45">
        <f>$V$13</f>
        <v>1750</v>
      </c>
      <c r="E13" s="15">
        <f t="shared" si="3"/>
        <v>0</v>
      </c>
      <c r="F13" s="6"/>
      <c r="G13" s="45">
        <f>$V$13</f>
        <v>1750</v>
      </c>
      <c r="H13" s="15">
        <f t="shared" si="0"/>
        <v>0</v>
      </c>
      <c r="J13" s="6" t="s">
        <v>2</v>
      </c>
      <c r="K13" s="34"/>
      <c r="L13" s="45">
        <f>$V$13</f>
        <v>1750</v>
      </c>
      <c r="M13" s="15">
        <f t="shared" si="4"/>
        <v>0</v>
      </c>
      <c r="N13" s="6"/>
      <c r="O13" s="45">
        <f>$V$13</f>
        <v>1750</v>
      </c>
      <c r="P13" s="15">
        <f t="shared" si="1"/>
        <v>0</v>
      </c>
      <c r="Q13" s="44"/>
      <c r="R13" s="45">
        <f>$V$13</f>
        <v>1750</v>
      </c>
      <c r="S13" s="15">
        <f t="shared" si="2"/>
        <v>0</v>
      </c>
      <c r="V13" s="45">
        <f t="shared" si="5"/>
        <v>1750</v>
      </c>
      <c r="W13" s="45">
        <f t="shared" si="6"/>
        <v>1750</v>
      </c>
      <c r="X13" s="45">
        <v>3500</v>
      </c>
    </row>
    <row r="14" spans="1:24" ht="15.75" x14ac:dyDescent="0.25">
      <c r="A14" s="37"/>
      <c r="B14" s="6" t="s">
        <v>10</v>
      </c>
      <c r="C14" s="34">
        <v>64</v>
      </c>
      <c r="D14" s="45">
        <f>$V$14</f>
        <v>1250</v>
      </c>
      <c r="E14" s="15">
        <f t="shared" si="3"/>
        <v>80000</v>
      </c>
      <c r="F14" s="6"/>
      <c r="G14" s="45">
        <f>$V$14</f>
        <v>1250</v>
      </c>
      <c r="H14" s="15">
        <f t="shared" si="0"/>
        <v>0</v>
      </c>
      <c r="J14" s="6" t="s">
        <v>10</v>
      </c>
      <c r="K14" s="66">
        <v>64</v>
      </c>
      <c r="L14" s="45">
        <f>$V$14</f>
        <v>1250</v>
      </c>
      <c r="M14" s="15">
        <f t="shared" si="4"/>
        <v>80000</v>
      </c>
      <c r="N14" s="6"/>
      <c r="O14" s="45">
        <f>$V$14</f>
        <v>1250</v>
      </c>
      <c r="P14" s="15">
        <f t="shared" si="1"/>
        <v>0</v>
      </c>
      <c r="Q14" s="44"/>
      <c r="R14" s="45">
        <f>$V$14</f>
        <v>1250</v>
      </c>
      <c r="S14" s="15">
        <f t="shared" si="2"/>
        <v>0</v>
      </c>
      <c r="V14" s="45">
        <f t="shared" si="5"/>
        <v>1250</v>
      </c>
      <c r="W14" s="45">
        <f t="shared" si="6"/>
        <v>1250</v>
      </c>
      <c r="X14" s="45">
        <v>2500</v>
      </c>
    </row>
    <row r="15" spans="1:24" ht="15.75" x14ac:dyDescent="0.25">
      <c r="A15" s="37"/>
      <c r="B15" s="5" t="s">
        <v>81</v>
      </c>
      <c r="C15" s="34"/>
      <c r="D15" s="45">
        <f>$V$15</f>
        <v>500</v>
      </c>
      <c r="E15" s="45">
        <f t="shared" si="3"/>
        <v>0</v>
      </c>
      <c r="F15" s="44"/>
      <c r="G15" s="45">
        <f>$V$15</f>
        <v>500</v>
      </c>
      <c r="H15" s="15">
        <f t="shared" si="0"/>
        <v>0</v>
      </c>
      <c r="J15" s="5" t="s">
        <v>81</v>
      </c>
      <c r="K15" s="34"/>
      <c r="L15" s="45">
        <f>$V$15</f>
        <v>500</v>
      </c>
      <c r="M15" s="45">
        <f t="shared" si="4"/>
        <v>0</v>
      </c>
      <c r="N15" s="44"/>
      <c r="O15" s="45">
        <f>$V$15</f>
        <v>500</v>
      </c>
      <c r="P15" s="15">
        <f t="shared" si="1"/>
        <v>0</v>
      </c>
      <c r="Q15" s="44"/>
      <c r="R15" s="45">
        <f>$V$15</f>
        <v>500</v>
      </c>
      <c r="S15" s="15">
        <f t="shared" si="2"/>
        <v>0</v>
      </c>
      <c r="V15" s="45">
        <f t="shared" si="5"/>
        <v>500</v>
      </c>
      <c r="W15" s="45">
        <f t="shared" si="6"/>
        <v>500</v>
      </c>
      <c r="X15" s="45">
        <v>1000</v>
      </c>
    </row>
    <row r="16" spans="1:24" ht="18.75" x14ac:dyDescent="0.3">
      <c r="A16" s="36" t="s">
        <v>75</v>
      </c>
      <c r="B16" s="6" t="s">
        <v>11</v>
      </c>
      <c r="C16" s="33">
        <v>20</v>
      </c>
      <c r="D16" s="45">
        <f>$V$16</f>
        <v>1750</v>
      </c>
      <c r="E16" s="15">
        <f>C16*D16</f>
        <v>35000</v>
      </c>
      <c r="F16" s="6"/>
      <c r="G16" s="45">
        <f>$V$16</f>
        <v>1750</v>
      </c>
      <c r="H16" s="15">
        <f t="shared" si="0"/>
        <v>0</v>
      </c>
      <c r="J16" s="6" t="s">
        <v>11</v>
      </c>
      <c r="K16" s="34">
        <v>20</v>
      </c>
      <c r="L16" s="45">
        <f>$V$16</f>
        <v>1750</v>
      </c>
      <c r="M16" s="15">
        <f t="shared" si="4"/>
        <v>35000</v>
      </c>
      <c r="N16" s="6"/>
      <c r="O16" s="45">
        <f>$V$16</f>
        <v>1750</v>
      </c>
      <c r="P16" s="15">
        <f t="shared" si="1"/>
        <v>0</v>
      </c>
      <c r="Q16" s="44"/>
      <c r="R16" s="45">
        <f>$V$16</f>
        <v>1750</v>
      </c>
      <c r="S16" s="15">
        <f t="shared" si="2"/>
        <v>0</v>
      </c>
      <c r="V16" s="45">
        <f t="shared" si="5"/>
        <v>1750</v>
      </c>
      <c r="W16" s="45">
        <f t="shared" si="6"/>
        <v>1750</v>
      </c>
      <c r="X16" s="45">
        <v>3500</v>
      </c>
    </row>
    <row r="17" spans="1:24" ht="15.75" x14ac:dyDescent="0.25">
      <c r="A17" s="37"/>
      <c r="B17" s="6" t="s">
        <v>8</v>
      </c>
      <c r="C17" s="34">
        <v>8</v>
      </c>
      <c r="D17" s="45">
        <f>$V$17</f>
        <v>2000</v>
      </c>
      <c r="E17" s="15">
        <f t="shared" si="3"/>
        <v>16000</v>
      </c>
      <c r="F17" s="6"/>
      <c r="G17" s="45">
        <f>$V$17</f>
        <v>2000</v>
      </c>
      <c r="H17" s="15">
        <f t="shared" si="0"/>
        <v>0</v>
      </c>
      <c r="J17" s="6" t="s">
        <v>8</v>
      </c>
      <c r="K17" s="34">
        <v>8</v>
      </c>
      <c r="L17" s="45">
        <f>$V$17</f>
        <v>2000</v>
      </c>
      <c r="M17" s="15">
        <f t="shared" si="4"/>
        <v>16000</v>
      </c>
      <c r="N17" s="6"/>
      <c r="O17" s="45">
        <f>$V$17</f>
        <v>2000</v>
      </c>
      <c r="P17" s="15">
        <f t="shared" si="1"/>
        <v>0</v>
      </c>
      <c r="Q17" s="44"/>
      <c r="R17" s="45">
        <f>$V$17</f>
        <v>2000</v>
      </c>
      <c r="S17" s="15">
        <f t="shared" si="2"/>
        <v>0</v>
      </c>
      <c r="V17" s="45">
        <f t="shared" si="5"/>
        <v>2000</v>
      </c>
      <c r="W17" s="45">
        <f t="shared" si="6"/>
        <v>2000</v>
      </c>
      <c r="X17" s="45">
        <v>4000</v>
      </c>
    </row>
    <row r="18" spans="1:24" ht="15.75" x14ac:dyDescent="0.25">
      <c r="A18" s="37"/>
      <c r="B18" s="6" t="s">
        <v>6</v>
      </c>
      <c r="C18" s="34"/>
      <c r="D18" s="45">
        <f>$V$18</f>
        <v>2000</v>
      </c>
      <c r="E18" s="15">
        <f t="shared" si="3"/>
        <v>0</v>
      </c>
      <c r="F18" s="6"/>
      <c r="G18" s="45">
        <f>$V$18</f>
        <v>2000</v>
      </c>
      <c r="H18" s="15">
        <f t="shared" si="0"/>
        <v>0</v>
      </c>
      <c r="J18" s="6" t="s">
        <v>6</v>
      </c>
      <c r="K18" s="34"/>
      <c r="L18" s="45">
        <f>$V$18</f>
        <v>2000</v>
      </c>
      <c r="M18" s="15">
        <f t="shared" si="4"/>
        <v>0</v>
      </c>
      <c r="N18" s="6"/>
      <c r="O18" s="45">
        <f>$V$18</f>
        <v>2000</v>
      </c>
      <c r="P18" s="15">
        <f t="shared" si="1"/>
        <v>0</v>
      </c>
      <c r="Q18" s="44"/>
      <c r="R18" s="45">
        <f>$V$18</f>
        <v>2000</v>
      </c>
      <c r="S18" s="15">
        <f t="shared" si="2"/>
        <v>0</v>
      </c>
      <c r="V18" s="45">
        <f t="shared" si="5"/>
        <v>2000</v>
      </c>
      <c r="W18" s="45">
        <f t="shared" si="6"/>
        <v>2000</v>
      </c>
      <c r="X18" s="45">
        <v>4000</v>
      </c>
    </row>
    <row r="19" spans="1:24" ht="15.75" x14ac:dyDescent="0.25">
      <c r="A19" s="37"/>
      <c r="B19" s="6" t="s">
        <v>71</v>
      </c>
      <c r="C19" s="34">
        <v>81</v>
      </c>
      <c r="D19" s="45">
        <f>$V$19</f>
        <v>500</v>
      </c>
      <c r="E19" s="15">
        <f t="shared" si="3"/>
        <v>40500</v>
      </c>
      <c r="F19" s="6"/>
      <c r="G19" s="45">
        <f>$V$19</f>
        <v>500</v>
      </c>
      <c r="H19" s="15">
        <f t="shared" si="0"/>
        <v>0</v>
      </c>
      <c r="J19" s="6" t="s">
        <v>4</v>
      </c>
      <c r="K19" s="34">
        <v>81</v>
      </c>
      <c r="L19" s="45">
        <f>$V$19</f>
        <v>500</v>
      </c>
      <c r="M19" s="15">
        <f t="shared" si="4"/>
        <v>40500</v>
      </c>
      <c r="N19" s="6"/>
      <c r="O19" s="45">
        <f>$V$19</f>
        <v>500</v>
      </c>
      <c r="P19" s="15">
        <f t="shared" si="1"/>
        <v>0</v>
      </c>
      <c r="Q19" s="44"/>
      <c r="R19" s="45">
        <f>$V$19</f>
        <v>500</v>
      </c>
      <c r="S19" s="15">
        <f t="shared" si="2"/>
        <v>0</v>
      </c>
      <c r="V19" s="45">
        <f t="shared" si="5"/>
        <v>500</v>
      </c>
      <c r="W19" s="45">
        <f t="shared" si="6"/>
        <v>500</v>
      </c>
      <c r="X19" s="45">
        <v>1000</v>
      </c>
    </row>
    <row r="20" spans="1:24" ht="15.75" x14ac:dyDescent="0.25">
      <c r="A20" s="37"/>
      <c r="B20" s="6" t="s">
        <v>72</v>
      </c>
      <c r="C20" s="34">
        <v>120</v>
      </c>
      <c r="D20" s="45">
        <f>$V$20</f>
        <v>1250</v>
      </c>
      <c r="E20" s="15">
        <f t="shared" si="3"/>
        <v>150000</v>
      </c>
      <c r="F20" s="6"/>
      <c r="G20" s="45">
        <f>$V$20</f>
        <v>1250</v>
      </c>
      <c r="H20" s="15">
        <f t="shared" si="0"/>
        <v>0</v>
      </c>
      <c r="J20" s="6" t="s">
        <v>1</v>
      </c>
      <c r="K20" s="61">
        <f>120-Q20</f>
        <v>84</v>
      </c>
      <c r="L20" s="45">
        <f>$V$20</f>
        <v>1250</v>
      </c>
      <c r="M20" s="15">
        <f t="shared" si="4"/>
        <v>105000</v>
      </c>
      <c r="N20" s="6"/>
      <c r="O20" s="45">
        <f>$V$20</f>
        <v>1250</v>
      </c>
      <c r="P20" s="15">
        <f t="shared" si="1"/>
        <v>0</v>
      </c>
      <c r="Q20" s="64">
        <v>36</v>
      </c>
      <c r="R20" s="45">
        <f>$V$20</f>
        <v>1250</v>
      </c>
      <c r="S20" s="15">
        <f t="shared" si="2"/>
        <v>45000</v>
      </c>
      <c r="V20" s="45">
        <f t="shared" si="5"/>
        <v>1250</v>
      </c>
      <c r="W20" s="45">
        <f t="shared" si="6"/>
        <v>1250</v>
      </c>
      <c r="X20" s="45">
        <v>2500</v>
      </c>
    </row>
    <row r="21" spans="1:24" ht="18.75" x14ac:dyDescent="0.3">
      <c r="A21" s="36" t="s">
        <v>75</v>
      </c>
      <c r="B21" s="5" t="s">
        <v>73</v>
      </c>
      <c r="C21" s="34">
        <v>24</v>
      </c>
      <c r="D21" s="45">
        <f>$V$21</f>
        <v>1750</v>
      </c>
      <c r="E21" s="15">
        <f t="shared" si="3"/>
        <v>42000</v>
      </c>
      <c r="F21" s="6"/>
      <c r="G21" s="45">
        <f>$V$21</f>
        <v>1750</v>
      </c>
      <c r="H21" s="15">
        <f t="shared" si="0"/>
        <v>0</v>
      </c>
      <c r="J21" s="5">
        <v>887</v>
      </c>
      <c r="K21" s="66">
        <v>24</v>
      </c>
      <c r="L21" s="45">
        <f>$V$21</f>
        <v>1750</v>
      </c>
      <c r="M21" s="15">
        <f t="shared" si="4"/>
        <v>42000</v>
      </c>
      <c r="N21" s="6"/>
      <c r="O21" s="45">
        <f>$V$21</f>
        <v>1750</v>
      </c>
      <c r="P21" s="15">
        <f t="shared" si="1"/>
        <v>0</v>
      </c>
      <c r="Q21" s="44"/>
      <c r="R21" s="45">
        <f>$V$21</f>
        <v>1750</v>
      </c>
      <c r="S21" s="15">
        <f t="shared" si="2"/>
        <v>0</v>
      </c>
      <c r="V21" s="45">
        <f t="shared" si="5"/>
        <v>1750</v>
      </c>
      <c r="W21" s="45">
        <f t="shared" si="6"/>
        <v>1750</v>
      </c>
      <c r="X21" s="45">
        <v>3500</v>
      </c>
    </row>
    <row r="22" spans="1:24" ht="15.75" x14ac:dyDescent="0.25">
      <c r="A22" s="37"/>
      <c r="B22" s="5" t="s">
        <v>53</v>
      </c>
      <c r="C22" s="34">
        <v>16.600000000000001</v>
      </c>
      <c r="D22" s="45">
        <f>$V$21</f>
        <v>1750</v>
      </c>
      <c r="E22" s="15">
        <f t="shared" si="3"/>
        <v>29050.000000000004</v>
      </c>
      <c r="F22" s="6"/>
      <c r="G22" s="45">
        <f>$V$21</f>
        <v>1750</v>
      </c>
      <c r="H22" s="15">
        <f t="shared" si="0"/>
        <v>0</v>
      </c>
      <c r="J22" s="5" t="s">
        <v>53</v>
      </c>
      <c r="K22" s="66">
        <v>16.600000000000001</v>
      </c>
      <c r="L22" s="45">
        <f>$V$21</f>
        <v>1750</v>
      </c>
      <c r="M22" s="15">
        <f t="shared" si="4"/>
        <v>29050.000000000004</v>
      </c>
      <c r="N22" s="6"/>
      <c r="O22" s="45">
        <f>$V$21</f>
        <v>1750</v>
      </c>
      <c r="P22" s="15">
        <f t="shared" si="1"/>
        <v>0</v>
      </c>
      <c r="Q22" s="6"/>
      <c r="R22" s="45">
        <f>$V$21</f>
        <v>1750</v>
      </c>
      <c r="S22" s="15">
        <f t="shared" si="2"/>
        <v>0</v>
      </c>
      <c r="V22" s="45">
        <f t="shared" si="5"/>
        <v>1000</v>
      </c>
      <c r="W22" s="45">
        <f t="shared" si="6"/>
        <v>1000</v>
      </c>
      <c r="X22" s="45">
        <v>2000</v>
      </c>
    </row>
    <row r="23" spans="1:24" ht="15.75" x14ac:dyDescent="0.25">
      <c r="A23" s="21"/>
      <c r="B23" s="5" t="s">
        <v>74</v>
      </c>
      <c r="C23" s="34">
        <v>11</v>
      </c>
      <c r="D23" s="45">
        <f>$V$23</f>
        <v>1750</v>
      </c>
      <c r="E23" s="15">
        <f t="shared" si="3"/>
        <v>19250</v>
      </c>
      <c r="F23" s="6">
        <v>5.4</v>
      </c>
      <c r="G23" s="45">
        <f>$V$23</f>
        <v>1750</v>
      </c>
      <c r="H23" s="15">
        <f t="shared" si="0"/>
        <v>9450</v>
      </c>
      <c r="J23" s="5" t="s">
        <v>54</v>
      </c>
      <c r="K23" s="66">
        <v>11</v>
      </c>
      <c r="L23" s="45">
        <f>$V$23</f>
        <v>1750</v>
      </c>
      <c r="M23" s="15">
        <f t="shared" si="4"/>
        <v>19250</v>
      </c>
      <c r="N23" s="6">
        <v>5</v>
      </c>
      <c r="O23" s="45">
        <f>$V$23</f>
        <v>1750</v>
      </c>
      <c r="P23" s="15">
        <f t="shared" si="1"/>
        <v>8750</v>
      </c>
      <c r="Q23" s="6"/>
      <c r="R23" s="45">
        <f>$V$23</f>
        <v>1750</v>
      </c>
      <c r="S23" s="15">
        <f t="shared" si="2"/>
        <v>0</v>
      </c>
      <c r="V23" s="45">
        <f t="shared" si="5"/>
        <v>1750</v>
      </c>
      <c r="W23" s="45">
        <f t="shared" si="6"/>
        <v>1750</v>
      </c>
      <c r="X23" s="45">
        <v>3500</v>
      </c>
    </row>
    <row r="24" spans="1:24" ht="15.75" x14ac:dyDescent="0.25">
      <c r="A24" s="21"/>
      <c r="B24" s="5" t="s">
        <v>108</v>
      </c>
      <c r="C24" s="34"/>
      <c r="D24" s="45">
        <f>$V$24</f>
        <v>2500</v>
      </c>
      <c r="E24" s="15">
        <f t="shared" si="3"/>
        <v>0</v>
      </c>
      <c r="F24" s="6"/>
      <c r="G24" s="45">
        <f>$V$24</f>
        <v>2500</v>
      </c>
      <c r="H24" s="15">
        <f t="shared" si="0"/>
        <v>0</v>
      </c>
      <c r="J24" s="5" t="s">
        <v>108</v>
      </c>
      <c r="K24" s="61">
        <v>88</v>
      </c>
      <c r="L24" s="45">
        <f>$V$24</f>
        <v>2500</v>
      </c>
      <c r="M24" s="15">
        <f t="shared" si="4"/>
        <v>220000</v>
      </c>
      <c r="N24" s="60">
        <v>18</v>
      </c>
      <c r="O24" s="45">
        <f>$V$24</f>
        <v>2500</v>
      </c>
      <c r="P24" s="15">
        <f t="shared" si="1"/>
        <v>45000</v>
      </c>
      <c r="Q24" s="60">
        <f>8+6+4+4+6+6</f>
        <v>34</v>
      </c>
      <c r="R24" s="45">
        <f>$V$24</f>
        <v>2500</v>
      </c>
      <c r="S24" s="15">
        <f t="shared" si="2"/>
        <v>85000</v>
      </c>
      <c r="V24" s="45">
        <f t="shared" si="5"/>
        <v>2500</v>
      </c>
      <c r="W24" s="45">
        <f t="shared" si="6"/>
        <v>2500</v>
      </c>
      <c r="X24" s="45">
        <v>5000</v>
      </c>
    </row>
    <row r="25" spans="1:24" ht="15.75" x14ac:dyDescent="0.25">
      <c r="A25" s="21"/>
      <c r="B25" s="5" t="s">
        <v>55</v>
      </c>
      <c r="C25" s="34"/>
      <c r="D25" s="15"/>
      <c r="E25" s="15">
        <f t="shared" si="3"/>
        <v>0</v>
      </c>
      <c r="F25" s="6"/>
      <c r="G25" s="15"/>
      <c r="H25" s="15">
        <f t="shared" si="0"/>
        <v>0</v>
      </c>
      <c r="J25" s="5" t="s">
        <v>55</v>
      </c>
      <c r="K25" s="34"/>
      <c r="L25" s="15"/>
      <c r="M25" s="15">
        <f t="shared" si="4"/>
        <v>0</v>
      </c>
      <c r="N25" s="6"/>
      <c r="O25" s="15"/>
      <c r="P25" s="15">
        <f t="shared" si="1"/>
        <v>0</v>
      </c>
      <c r="Q25" s="6"/>
      <c r="R25" s="15"/>
      <c r="S25" s="15">
        <f t="shared" si="2"/>
        <v>0</v>
      </c>
    </row>
    <row r="26" spans="1:24" ht="15.75" x14ac:dyDescent="0.25">
      <c r="A26" s="21"/>
      <c r="B26" s="5" t="s">
        <v>56</v>
      </c>
      <c r="C26" s="34"/>
      <c r="D26" s="15"/>
      <c r="E26" s="15">
        <f t="shared" si="3"/>
        <v>0</v>
      </c>
      <c r="F26" s="6"/>
      <c r="G26" s="15"/>
      <c r="H26" s="15">
        <f t="shared" si="0"/>
        <v>0</v>
      </c>
      <c r="J26" s="5" t="s">
        <v>56</v>
      </c>
      <c r="K26" s="34"/>
      <c r="L26" s="15"/>
      <c r="M26" s="15">
        <f t="shared" si="4"/>
        <v>0</v>
      </c>
      <c r="N26" s="6"/>
      <c r="O26" s="15"/>
      <c r="P26" s="15">
        <f t="shared" si="1"/>
        <v>0</v>
      </c>
      <c r="Q26" s="6"/>
      <c r="R26" s="15"/>
      <c r="S26" s="15">
        <f t="shared" si="2"/>
        <v>0</v>
      </c>
    </row>
    <row r="27" spans="1:24" ht="15.75" x14ac:dyDescent="0.25">
      <c r="A27" s="21"/>
      <c r="B27" s="5" t="s">
        <v>57</v>
      </c>
      <c r="C27" s="34"/>
      <c r="D27" s="15"/>
      <c r="E27" s="15">
        <f t="shared" si="3"/>
        <v>0</v>
      </c>
      <c r="F27" s="6"/>
      <c r="G27" s="15"/>
      <c r="H27" s="15">
        <f t="shared" si="0"/>
        <v>0</v>
      </c>
      <c r="J27" s="5" t="s">
        <v>57</v>
      </c>
      <c r="K27" s="34"/>
      <c r="L27" s="15"/>
      <c r="M27" s="15">
        <f t="shared" si="4"/>
        <v>0</v>
      </c>
      <c r="N27" s="6"/>
      <c r="O27" s="15"/>
      <c r="P27" s="15">
        <f t="shared" si="1"/>
        <v>0</v>
      </c>
      <c r="Q27" s="6"/>
      <c r="R27" s="15"/>
      <c r="S27" s="15">
        <f t="shared" si="2"/>
        <v>0</v>
      </c>
    </row>
    <row r="28" spans="1:24" ht="15.75" x14ac:dyDescent="0.25">
      <c r="A28" s="21"/>
      <c r="B28" s="12" t="s">
        <v>36</v>
      </c>
      <c r="C28" s="13">
        <f>SUM(C5:C27)</f>
        <v>937.1</v>
      </c>
      <c r="D28" s="16"/>
      <c r="E28" s="16">
        <f>SUM(E5:E27)</f>
        <v>1075550</v>
      </c>
      <c r="F28" s="13">
        <f>SUM(F5:F27)</f>
        <v>86.4</v>
      </c>
      <c r="G28" s="16"/>
      <c r="H28" s="16">
        <f>SUM(H5:H27)</f>
        <v>151200</v>
      </c>
      <c r="J28" s="12" t="s">
        <v>64</v>
      </c>
      <c r="K28" s="13">
        <f>SUM(K5:K27)</f>
        <v>965.1</v>
      </c>
      <c r="L28" s="16"/>
      <c r="M28" s="68">
        <f>SUM(M5:M27)</f>
        <v>1208550</v>
      </c>
      <c r="N28" s="13">
        <f>SUM(N5:N27)</f>
        <v>56</v>
      </c>
      <c r="O28" s="16"/>
      <c r="P28" s="68">
        <f>SUM(P5:P27)</f>
        <v>111500</v>
      </c>
      <c r="Q28" s="13">
        <f>SUM(Q5:Q27)</f>
        <v>118</v>
      </c>
      <c r="R28" s="16"/>
      <c r="S28" s="68">
        <f>SUM(S5:S27)</f>
        <v>214000</v>
      </c>
    </row>
    <row r="29" spans="1:24" ht="15.75" x14ac:dyDescent="0.25">
      <c r="A29" s="21"/>
      <c r="B29" s="12"/>
      <c r="C29" s="13"/>
      <c r="D29" s="13"/>
      <c r="E29" s="16"/>
      <c r="F29" s="13"/>
      <c r="G29" s="13"/>
      <c r="H29" s="16"/>
      <c r="J29" s="12" t="s">
        <v>65</v>
      </c>
      <c r="K29" s="13">
        <f>C28</f>
        <v>937.1</v>
      </c>
      <c r="L29" s="13"/>
      <c r="M29" s="16">
        <f>E28</f>
        <v>1075550</v>
      </c>
      <c r="N29" s="13">
        <f>F28</f>
        <v>86.4</v>
      </c>
      <c r="O29" s="13"/>
      <c r="P29" s="16">
        <f>H28</f>
        <v>151200</v>
      </c>
      <c r="Q29" s="13"/>
      <c r="R29" s="13"/>
      <c r="S29" s="16"/>
    </row>
    <row r="30" spans="1:24" ht="15.75" x14ac:dyDescent="0.25">
      <c r="A30" s="21"/>
      <c r="B30" s="12" t="s">
        <v>23</v>
      </c>
      <c r="C30" s="13"/>
      <c r="D30" s="12"/>
      <c r="E30" s="16"/>
      <c r="F30" s="12"/>
      <c r="G30" s="12"/>
      <c r="H30" s="16">
        <f>H28-H29</f>
        <v>151200</v>
      </c>
      <c r="J30" s="12" t="s">
        <v>66</v>
      </c>
      <c r="K30" s="13">
        <f>K28-K29</f>
        <v>28</v>
      </c>
      <c r="L30" s="12"/>
      <c r="M30" s="16">
        <f>M28-M29</f>
        <v>133000</v>
      </c>
      <c r="N30" s="13">
        <f>N28-N29</f>
        <v>-30.400000000000006</v>
      </c>
      <c r="O30" s="12"/>
      <c r="P30" s="13">
        <f>P28-P29</f>
        <v>-39700</v>
      </c>
      <c r="Q30" s="13">
        <f>Q28-Q29</f>
        <v>118</v>
      </c>
      <c r="R30" s="12"/>
      <c r="S30" s="16">
        <f>S28-S29</f>
        <v>214000</v>
      </c>
    </row>
    <row r="32" spans="1:24" ht="15.75" x14ac:dyDescent="0.25">
      <c r="B32" s="1"/>
      <c r="C32" s="14" t="s">
        <v>67</v>
      </c>
      <c r="D32" s="1"/>
      <c r="E32" s="14" t="s">
        <v>25</v>
      </c>
      <c r="F32" s="35" t="s">
        <v>62</v>
      </c>
      <c r="G32" s="1"/>
      <c r="H32" s="1"/>
    </row>
    <row r="33" spans="2:19" ht="15.75" x14ac:dyDescent="0.25">
      <c r="B33" s="9" t="s">
        <v>22</v>
      </c>
      <c r="C33" s="10" t="s">
        <v>17</v>
      </c>
      <c r="D33" s="2" t="s">
        <v>50</v>
      </c>
      <c r="E33" s="3"/>
      <c r="F33" s="10" t="s">
        <v>21</v>
      </c>
      <c r="G33" s="2"/>
      <c r="H33" s="3"/>
    </row>
    <row r="34" spans="2:19" ht="15.75" x14ac:dyDescent="0.25">
      <c r="B34" s="8"/>
      <c r="C34" s="4" t="s">
        <v>18</v>
      </c>
      <c r="D34" s="8" t="s">
        <v>19</v>
      </c>
      <c r="E34" s="11" t="s">
        <v>20</v>
      </c>
      <c r="F34" s="8" t="s">
        <v>18</v>
      </c>
      <c r="G34" s="8" t="s">
        <v>19</v>
      </c>
      <c r="H34" s="11" t="s">
        <v>20</v>
      </c>
    </row>
    <row r="35" spans="2:19" ht="15.75" x14ac:dyDescent="0.25">
      <c r="B35" s="5" t="s">
        <v>52</v>
      </c>
      <c r="C35" s="33">
        <f t="shared" ref="C35:C44" si="7">K5-C5</f>
        <v>0</v>
      </c>
      <c r="D35" s="15">
        <v>3500</v>
      </c>
      <c r="E35" s="15">
        <f t="shared" ref="E35:E55" si="8">C35*D35</f>
        <v>0</v>
      </c>
      <c r="F35" s="1"/>
      <c r="G35" s="15">
        <v>3500</v>
      </c>
      <c r="H35" s="15">
        <f t="shared" ref="H35:H55" si="9">F35*G35</f>
        <v>0</v>
      </c>
      <c r="M35" s="63">
        <f>'03.26 (изм)'!O35</f>
        <v>3609087.5</v>
      </c>
      <c r="Q35" s="63">
        <f>'03.26 (изм)'!R35</f>
        <v>545000</v>
      </c>
      <c r="S35" s="63">
        <f>'03.26 (изм)'!U35</f>
        <v>629750</v>
      </c>
    </row>
    <row r="36" spans="2:19" ht="15.75" x14ac:dyDescent="0.25">
      <c r="B36" s="6" t="s">
        <v>7</v>
      </c>
      <c r="C36" s="33">
        <f t="shared" si="7"/>
        <v>0</v>
      </c>
      <c r="D36" s="15">
        <v>1000</v>
      </c>
      <c r="E36" s="15">
        <f t="shared" si="8"/>
        <v>0</v>
      </c>
      <c r="F36" s="6"/>
      <c r="G36" s="15">
        <v>1000</v>
      </c>
      <c r="H36" s="15">
        <f t="shared" si="9"/>
        <v>0</v>
      </c>
    </row>
    <row r="37" spans="2:19" ht="15.75" x14ac:dyDescent="0.25">
      <c r="B37" s="6" t="s">
        <v>9</v>
      </c>
      <c r="C37" s="33">
        <f t="shared" si="7"/>
        <v>0</v>
      </c>
      <c r="D37" s="15">
        <v>3500</v>
      </c>
      <c r="E37" s="15">
        <f t="shared" si="8"/>
        <v>0</v>
      </c>
      <c r="F37" s="6"/>
      <c r="G37" s="15">
        <v>3500</v>
      </c>
      <c r="H37" s="15">
        <f t="shared" si="9"/>
        <v>0</v>
      </c>
    </row>
    <row r="38" spans="2:19" ht="15.75" x14ac:dyDescent="0.25">
      <c r="B38" s="6" t="s">
        <v>5</v>
      </c>
      <c r="C38" s="33">
        <f t="shared" si="7"/>
        <v>-24</v>
      </c>
      <c r="D38" s="15">
        <v>3500</v>
      </c>
      <c r="E38" s="15">
        <f t="shared" si="8"/>
        <v>-84000</v>
      </c>
      <c r="F38" s="6"/>
      <c r="G38" s="15">
        <v>3500</v>
      </c>
      <c r="H38" s="15">
        <f t="shared" si="9"/>
        <v>0</v>
      </c>
    </row>
    <row r="39" spans="2:19" ht="15.75" x14ac:dyDescent="0.25">
      <c r="B39" s="6" t="s">
        <v>3</v>
      </c>
      <c r="C39" s="33">
        <f t="shared" si="7"/>
        <v>0</v>
      </c>
      <c r="D39" s="15">
        <v>3500</v>
      </c>
      <c r="E39" s="15">
        <f t="shared" si="8"/>
        <v>0</v>
      </c>
      <c r="F39" s="6"/>
      <c r="G39" s="15">
        <v>3500</v>
      </c>
      <c r="H39" s="15">
        <f t="shared" si="9"/>
        <v>0</v>
      </c>
    </row>
    <row r="40" spans="2:19" ht="15.75" x14ac:dyDescent="0.25">
      <c r="B40" s="6" t="s">
        <v>12</v>
      </c>
      <c r="C40" s="33">
        <f t="shared" si="7"/>
        <v>0</v>
      </c>
      <c r="D40" s="15">
        <v>1000</v>
      </c>
      <c r="E40" s="15">
        <f t="shared" si="8"/>
        <v>0</v>
      </c>
      <c r="F40" s="6"/>
      <c r="G40" s="15">
        <v>1000</v>
      </c>
      <c r="H40" s="15">
        <f t="shared" si="9"/>
        <v>0</v>
      </c>
    </row>
    <row r="41" spans="2:19" ht="15.75" x14ac:dyDescent="0.25">
      <c r="B41" s="5" t="s">
        <v>60</v>
      </c>
      <c r="C41" s="33">
        <f t="shared" si="7"/>
        <v>0</v>
      </c>
      <c r="D41" s="15">
        <v>1000</v>
      </c>
      <c r="E41" s="15">
        <f t="shared" si="8"/>
        <v>0</v>
      </c>
      <c r="F41" s="6"/>
      <c r="G41" s="15">
        <v>1000</v>
      </c>
      <c r="H41" s="15">
        <f t="shared" si="9"/>
        <v>0</v>
      </c>
    </row>
    <row r="42" spans="2:19" ht="15.75" x14ac:dyDescent="0.25">
      <c r="B42" s="5" t="s">
        <v>61</v>
      </c>
      <c r="C42" s="33">
        <f t="shared" si="7"/>
        <v>0</v>
      </c>
      <c r="D42" s="15">
        <v>1000</v>
      </c>
      <c r="E42" s="15">
        <f t="shared" si="8"/>
        <v>0</v>
      </c>
      <c r="F42" s="6"/>
      <c r="G42" s="15">
        <v>1000</v>
      </c>
      <c r="H42" s="15">
        <f t="shared" si="9"/>
        <v>0</v>
      </c>
    </row>
    <row r="43" spans="2:19" ht="15.75" x14ac:dyDescent="0.25">
      <c r="B43" s="6" t="s">
        <v>2</v>
      </c>
      <c r="C43" s="33">
        <f t="shared" si="7"/>
        <v>0</v>
      </c>
      <c r="D43" s="15">
        <v>3000</v>
      </c>
      <c r="E43" s="15">
        <f t="shared" si="8"/>
        <v>0</v>
      </c>
      <c r="F43" s="6"/>
      <c r="G43" s="15">
        <v>3000</v>
      </c>
      <c r="H43" s="15">
        <f t="shared" si="9"/>
        <v>0</v>
      </c>
    </row>
    <row r="44" spans="2:19" ht="15.75" x14ac:dyDescent="0.25">
      <c r="B44" s="6" t="s">
        <v>10</v>
      </c>
      <c r="C44" s="33">
        <f t="shared" si="7"/>
        <v>0</v>
      </c>
      <c r="D44" s="15">
        <v>2500</v>
      </c>
      <c r="E44" s="15">
        <f t="shared" si="8"/>
        <v>0</v>
      </c>
      <c r="F44" s="6"/>
      <c r="G44" s="15">
        <v>2500</v>
      </c>
      <c r="H44" s="15">
        <f t="shared" si="9"/>
        <v>0</v>
      </c>
    </row>
    <row r="45" spans="2:19" ht="15.75" x14ac:dyDescent="0.25">
      <c r="B45" s="6" t="s">
        <v>11</v>
      </c>
      <c r="C45" s="33">
        <f t="shared" ref="C45:C52" si="10">K16-C16</f>
        <v>0</v>
      </c>
      <c r="D45" s="15">
        <v>3500</v>
      </c>
      <c r="E45" s="15">
        <f t="shared" si="8"/>
        <v>0</v>
      </c>
      <c r="F45" s="6"/>
      <c r="G45" s="15">
        <v>3500</v>
      </c>
      <c r="H45" s="15">
        <f t="shared" si="9"/>
        <v>0</v>
      </c>
    </row>
    <row r="46" spans="2:19" ht="15.75" x14ac:dyDescent="0.25">
      <c r="B46" s="6" t="s">
        <v>8</v>
      </c>
      <c r="C46" s="33">
        <f t="shared" si="10"/>
        <v>0</v>
      </c>
      <c r="D46" s="15">
        <v>4000</v>
      </c>
      <c r="E46" s="15">
        <f t="shared" si="8"/>
        <v>0</v>
      </c>
      <c r="F46" s="6"/>
      <c r="G46" s="15">
        <v>4000</v>
      </c>
      <c r="H46" s="15">
        <f t="shared" si="9"/>
        <v>0</v>
      </c>
    </row>
    <row r="47" spans="2:19" ht="15.75" x14ac:dyDescent="0.25">
      <c r="B47" s="6" t="s">
        <v>6</v>
      </c>
      <c r="C47" s="33">
        <f t="shared" si="10"/>
        <v>0</v>
      </c>
      <c r="D47" s="15">
        <v>4000</v>
      </c>
      <c r="E47" s="15">
        <f t="shared" si="8"/>
        <v>0</v>
      </c>
      <c r="F47" s="6"/>
      <c r="G47" s="15">
        <v>4000</v>
      </c>
      <c r="H47" s="15">
        <f t="shared" si="9"/>
        <v>0</v>
      </c>
    </row>
    <row r="48" spans="2:19" ht="15.75" x14ac:dyDescent="0.25">
      <c r="B48" s="6" t="s">
        <v>4</v>
      </c>
      <c r="C48" s="33">
        <f t="shared" si="10"/>
        <v>0</v>
      </c>
      <c r="D48" s="15">
        <v>1000</v>
      </c>
      <c r="E48" s="15">
        <f t="shared" si="8"/>
        <v>0</v>
      </c>
      <c r="F48" s="6"/>
      <c r="G48" s="15">
        <v>1000</v>
      </c>
      <c r="H48" s="15">
        <f t="shared" si="9"/>
        <v>0</v>
      </c>
    </row>
    <row r="49" spans="2:8" ht="15.75" x14ac:dyDescent="0.25">
      <c r="B49" s="6" t="s">
        <v>1</v>
      </c>
      <c r="C49" s="33">
        <f t="shared" si="10"/>
        <v>-36</v>
      </c>
      <c r="D49" s="15">
        <v>2500</v>
      </c>
      <c r="E49" s="15">
        <f t="shared" si="8"/>
        <v>-90000</v>
      </c>
      <c r="F49" s="6"/>
      <c r="G49" s="15">
        <v>2500</v>
      </c>
      <c r="H49" s="15">
        <f t="shared" si="9"/>
        <v>0</v>
      </c>
    </row>
    <row r="50" spans="2:8" ht="15.75" x14ac:dyDescent="0.25">
      <c r="B50" s="5">
        <v>887</v>
      </c>
      <c r="C50" s="33">
        <f t="shared" si="10"/>
        <v>0</v>
      </c>
      <c r="D50" s="15">
        <v>3000</v>
      </c>
      <c r="E50" s="15">
        <f t="shared" si="8"/>
        <v>0</v>
      </c>
      <c r="F50" s="6"/>
      <c r="G50" s="15">
        <v>3000</v>
      </c>
      <c r="H50" s="15">
        <f t="shared" si="9"/>
        <v>0</v>
      </c>
    </row>
    <row r="51" spans="2:8" ht="15.75" x14ac:dyDescent="0.25">
      <c r="B51" s="5" t="s">
        <v>53</v>
      </c>
      <c r="C51" s="33">
        <f t="shared" si="10"/>
        <v>0</v>
      </c>
      <c r="D51" s="15">
        <v>2000</v>
      </c>
      <c r="E51" s="15">
        <f t="shared" si="8"/>
        <v>0</v>
      </c>
      <c r="F51" s="6"/>
      <c r="G51" s="15">
        <v>2000</v>
      </c>
      <c r="H51" s="15">
        <f t="shared" si="9"/>
        <v>0</v>
      </c>
    </row>
    <row r="52" spans="2:8" ht="15.75" x14ac:dyDescent="0.25">
      <c r="B52" s="5" t="s">
        <v>54</v>
      </c>
      <c r="C52" s="33">
        <f t="shared" si="10"/>
        <v>0</v>
      </c>
      <c r="D52" s="15">
        <v>3500</v>
      </c>
      <c r="E52" s="15">
        <f t="shared" si="8"/>
        <v>0</v>
      </c>
      <c r="F52" s="6"/>
      <c r="G52" s="15">
        <v>3500</v>
      </c>
      <c r="H52" s="15">
        <f t="shared" si="9"/>
        <v>0</v>
      </c>
    </row>
    <row r="53" spans="2:8" ht="15.75" x14ac:dyDescent="0.25">
      <c r="B53" s="5" t="s">
        <v>55</v>
      </c>
      <c r="C53" s="33">
        <f t="shared" ref="C53:C54" si="11">K25-C25</f>
        <v>0</v>
      </c>
      <c r="D53" s="15"/>
      <c r="E53" s="15">
        <f t="shared" si="8"/>
        <v>0</v>
      </c>
      <c r="F53" s="6"/>
      <c r="G53" s="15"/>
      <c r="H53" s="15">
        <f t="shared" si="9"/>
        <v>0</v>
      </c>
    </row>
    <row r="54" spans="2:8" ht="15.75" x14ac:dyDescent="0.25">
      <c r="B54" s="5" t="s">
        <v>56</v>
      </c>
      <c r="C54" s="33">
        <f t="shared" si="11"/>
        <v>0</v>
      </c>
      <c r="D54" s="15"/>
      <c r="E54" s="15">
        <f t="shared" si="8"/>
        <v>0</v>
      </c>
      <c r="F54" s="6"/>
      <c r="G54" s="15"/>
      <c r="H54" s="15">
        <f t="shared" si="9"/>
        <v>0</v>
      </c>
    </row>
    <row r="55" spans="2:8" ht="15.75" x14ac:dyDescent="0.25">
      <c r="B55" s="5" t="s">
        <v>57</v>
      </c>
      <c r="C55" s="34"/>
      <c r="D55" s="15"/>
      <c r="E55" s="15">
        <f t="shared" si="8"/>
        <v>0</v>
      </c>
      <c r="F55" s="6"/>
      <c r="G55" s="15"/>
      <c r="H55" s="15">
        <f t="shared" si="9"/>
        <v>0</v>
      </c>
    </row>
    <row r="56" spans="2:8" ht="15.75" x14ac:dyDescent="0.25">
      <c r="B56" s="12" t="s">
        <v>36</v>
      </c>
      <c r="C56" s="13">
        <f>SUM(C35:C55)</f>
        <v>-60</v>
      </c>
      <c r="D56" s="16"/>
      <c r="E56" s="16">
        <f>SUM(E35:E55)</f>
        <v>-174000</v>
      </c>
      <c r="F56" s="13">
        <f>SUM(F35:F55)</f>
        <v>0</v>
      </c>
      <c r="G56" s="16"/>
      <c r="H56" s="13">
        <f>SUM(H35:H55)</f>
        <v>0</v>
      </c>
    </row>
    <row r="57" spans="2:8" ht="15.75" x14ac:dyDescent="0.25">
      <c r="B57" s="1"/>
      <c r="C57" s="1"/>
      <c r="D57" s="1"/>
      <c r="E57" s="1"/>
      <c r="F57" s="1"/>
      <c r="G57" s="1"/>
      <c r="H57" s="1"/>
    </row>
  </sheetData>
  <pageMargins left="0.70866141732283472" right="0.70866141732283472" top="0.35433070866141736" bottom="0.15748031496062992" header="0.31496062992125984" footer="0.31496062992125984"/>
  <pageSetup paperSize="9" scale="48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4"/>
  <sheetViews>
    <sheetView workbookViewId="0">
      <selection activeCell="M27" sqref="M27"/>
    </sheetView>
  </sheetViews>
  <sheetFormatPr defaultRowHeight="15" x14ac:dyDescent="0.25"/>
  <cols>
    <col min="2" max="2" width="26" customWidth="1"/>
    <col min="5" max="5" width="12.7109375" customWidth="1"/>
    <col min="6" max="6" width="6" customWidth="1"/>
    <col min="8" max="8" width="12.7109375" customWidth="1"/>
    <col min="10" max="10" width="25.28515625" customWidth="1"/>
    <col min="13" max="13" width="13" customWidth="1"/>
    <col min="14" max="14" width="9" customWidth="1"/>
    <col min="16" max="16" width="11.7109375" customWidth="1"/>
  </cols>
  <sheetData>
    <row r="1" spans="1:16" ht="15.75" x14ac:dyDescent="0.25">
      <c r="B1" s="1"/>
      <c r="C1" s="14" t="s">
        <v>67</v>
      </c>
      <c r="D1" s="1"/>
      <c r="E1" s="14" t="s">
        <v>25</v>
      </c>
      <c r="F1" s="14" t="s">
        <v>63</v>
      </c>
      <c r="G1" s="1"/>
      <c r="H1" s="1"/>
      <c r="J1" s="1"/>
      <c r="K1" s="35" t="s">
        <v>67</v>
      </c>
      <c r="L1" s="1"/>
      <c r="M1" s="14" t="s">
        <v>25</v>
      </c>
      <c r="N1" s="1"/>
      <c r="O1" s="1"/>
      <c r="P1" s="1"/>
    </row>
    <row r="2" spans="1:16" ht="15.75" x14ac:dyDescent="0.25">
      <c r="A2" s="21"/>
      <c r="B2" s="9" t="s">
        <v>22</v>
      </c>
      <c r="C2" s="10" t="s">
        <v>17</v>
      </c>
      <c r="D2" s="2" t="s">
        <v>50</v>
      </c>
      <c r="E2" s="3"/>
      <c r="F2" s="10" t="s">
        <v>21</v>
      </c>
      <c r="G2" s="2"/>
      <c r="H2" s="3"/>
      <c r="J2" s="9" t="s">
        <v>22</v>
      </c>
      <c r="K2" s="10" t="s">
        <v>17</v>
      </c>
      <c r="L2" s="2" t="s">
        <v>50</v>
      </c>
      <c r="M2" s="3"/>
      <c r="N2" s="10" t="s">
        <v>21</v>
      </c>
      <c r="O2" s="2"/>
      <c r="P2" s="3"/>
    </row>
    <row r="3" spans="1:16" ht="15.75" x14ac:dyDescent="0.25">
      <c r="A3" s="21"/>
      <c r="B3" s="8"/>
      <c r="C3" s="4" t="s">
        <v>18</v>
      </c>
      <c r="D3" s="8" t="s">
        <v>19</v>
      </c>
      <c r="E3" s="11" t="s">
        <v>20</v>
      </c>
      <c r="F3" s="8" t="s">
        <v>18</v>
      </c>
      <c r="G3" s="8" t="s">
        <v>19</v>
      </c>
      <c r="H3" s="11" t="s">
        <v>20</v>
      </c>
      <c r="J3" s="8"/>
      <c r="K3" s="4" t="s">
        <v>18</v>
      </c>
      <c r="L3" s="8" t="s">
        <v>19</v>
      </c>
      <c r="M3" s="11" t="s">
        <v>20</v>
      </c>
      <c r="N3" s="8" t="s">
        <v>18</v>
      </c>
      <c r="O3" s="8" t="s">
        <v>19</v>
      </c>
      <c r="P3" s="11" t="s">
        <v>20</v>
      </c>
    </row>
    <row r="4" spans="1:16" ht="18.75" x14ac:dyDescent="0.3">
      <c r="A4" s="36">
        <v>271</v>
      </c>
      <c r="B4" s="5" t="s">
        <v>68</v>
      </c>
      <c r="C4" s="33">
        <v>48</v>
      </c>
      <c r="D4" s="15">
        <v>3500</v>
      </c>
      <c r="E4" s="15">
        <f>C4*D4</f>
        <v>168000</v>
      </c>
      <c r="F4" s="1">
        <v>81</v>
      </c>
      <c r="G4" s="15">
        <v>3500</v>
      </c>
      <c r="H4" s="15">
        <f t="shared" ref="H4:H24" si="0">F4*G4</f>
        <v>283500</v>
      </c>
      <c r="J4" s="5" t="s">
        <v>52</v>
      </c>
      <c r="K4" s="33">
        <v>112</v>
      </c>
      <c r="L4" s="15">
        <v>3500</v>
      </c>
      <c r="M4" s="15">
        <f>K4*L4</f>
        <v>392000</v>
      </c>
      <c r="N4" s="1">
        <v>81</v>
      </c>
      <c r="O4" s="15">
        <v>3500</v>
      </c>
      <c r="P4" s="15">
        <f t="shared" ref="P4:P24" si="1">N4*O4</f>
        <v>283500</v>
      </c>
    </row>
    <row r="5" spans="1:16" ht="15.75" x14ac:dyDescent="0.25">
      <c r="A5" s="37"/>
      <c r="B5" s="6" t="s">
        <v>7</v>
      </c>
      <c r="C5" s="34">
        <v>204</v>
      </c>
      <c r="D5" s="15">
        <v>1000</v>
      </c>
      <c r="E5" s="15">
        <f t="shared" ref="E5:E24" si="2">C5*D5</f>
        <v>204000</v>
      </c>
      <c r="F5" s="6"/>
      <c r="G5" s="15">
        <v>1000</v>
      </c>
      <c r="H5" s="15">
        <f t="shared" si="0"/>
        <v>0</v>
      </c>
      <c r="J5" s="6" t="s">
        <v>7</v>
      </c>
      <c r="K5" s="34">
        <v>228</v>
      </c>
      <c r="L5" s="15">
        <v>1000</v>
      </c>
      <c r="M5" s="15">
        <f t="shared" ref="M5:M24" si="3">K5*L5</f>
        <v>228000</v>
      </c>
      <c r="N5" s="6"/>
      <c r="O5" s="15">
        <v>1000</v>
      </c>
      <c r="P5" s="15">
        <f t="shared" si="1"/>
        <v>0</v>
      </c>
    </row>
    <row r="6" spans="1:16" ht="15.75" x14ac:dyDescent="0.25">
      <c r="A6" s="37"/>
      <c r="B6" s="6" t="s">
        <v>9</v>
      </c>
      <c r="C6" s="34">
        <v>24</v>
      </c>
      <c r="D6" s="15">
        <v>3500</v>
      </c>
      <c r="E6" s="15">
        <f t="shared" si="2"/>
        <v>84000</v>
      </c>
      <c r="F6" s="6"/>
      <c r="G6" s="15">
        <v>3500</v>
      </c>
      <c r="H6" s="15">
        <f t="shared" si="0"/>
        <v>0</v>
      </c>
      <c r="J6" s="6" t="s">
        <v>9</v>
      </c>
      <c r="K6" s="34">
        <v>144</v>
      </c>
      <c r="L6" s="15">
        <v>3500</v>
      </c>
      <c r="M6" s="15">
        <f t="shared" si="3"/>
        <v>504000</v>
      </c>
      <c r="N6" s="6"/>
      <c r="O6" s="15">
        <v>3500</v>
      </c>
      <c r="P6" s="15">
        <f t="shared" si="1"/>
        <v>0</v>
      </c>
    </row>
    <row r="7" spans="1:16" ht="18.75" x14ac:dyDescent="0.3">
      <c r="A7" s="36" t="s">
        <v>75</v>
      </c>
      <c r="B7" s="6" t="s">
        <v>5</v>
      </c>
      <c r="C7" s="34">
        <v>76</v>
      </c>
      <c r="D7" s="15">
        <v>3500</v>
      </c>
      <c r="E7" s="15">
        <f t="shared" si="2"/>
        <v>266000</v>
      </c>
      <c r="F7" s="6"/>
      <c r="G7" s="15">
        <v>3500</v>
      </c>
      <c r="H7" s="15">
        <f t="shared" si="0"/>
        <v>0</v>
      </c>
      <c r="J7" s="6" t="s">
        <v>5</v>
      </c>
      <c r="K7" s="34">
        <v>76</v>
      </c>
      <c r="L7" s="15">
        <v>3500</v>
      </c>
      <c r="M7" s="15">
        <f t="shared" si="3"/>
        <v>266000</v>
      </c>
      <c r="N7" s="6"/>
      <c r="O7" s="15">
        <v>3500</v>
      </c>
      <c r="P7" s="15">
        <f t="shared" si="1"/>
        <v>0</v>
      </c>
    </row>
    <row r="8" spans="1:16" ht="15.75" x14ac:dyDescent="0.25">
      <c r="A8" s="37"/>
      <c r="B8" s="6" t="s">
        <v>3</v>
      </c>
      <c r="C8" s="34">
        <v>146</v>
      </c>
      <c r="D8" s="15">
        <v>3500</v>
      </c>
      <c r="E8" s="15">
        <f t="shared" si="2"/>
        <v>511000</v>
      </c>
      <c r="F8" s="6"/>
      <c r="G8" s="15">
        <v>3500</v>
      </c>
      <c r="H8" s="15">
        <f t="shared" si="0"/>
        <v>0</v>
      </c>
      <c r="J8" s="6" t="s">
        <v>3</v>
      </c>
      <c r="K8" s="34">
        <v>146</v>
      </c>
      <c r="L8" s="15">
        <v>3500</v>
      </c>
      <c r="M8" s="15">
        <f t="shared" si="3"/>
        <v>511000</v>
      </c>
      <c r="N8" s="6"/>
      <c r="O8" s="15">
        <v>3500</v>
      </c>
      <c r="P8" s="15">
        <f t="shared" si="1"/>
        <v>0</v>
      </c>
    </row>
    <row r="9" spans="1:16" ht="15.75" x14ac:dyDescent="0.25">
      <c r="A9" s="37"/>
      <c r="B9" s="6" t="s">
        <v>69</v>
      </c>
      <c r="C9" s="34">
        <v>94.5</v>
      </c>
      <c r="D9" s="15">
        <v>1000</v>
      </c>
      <c r="E9" s="15">
        <f t="shared" si="2"/>
        <v>94500</v>
      </c>
      <c r="F9" s="6"/>
      <c r="G9" s="15">
        <v>1000</v>
      </c>
      <c r="H9" s="15">
        <f t="shared" si="0"/>
        <v>0</v>
      </c>
      <c r="J9" s="6" t="s">
        <v>12</v>
      </c>
      <c r="K9" s="34">
        <v>155</v>
      </c>
      <c r="L9" s="15">
        <v>1000</v>
      </c>
      <c r="M9" s="15">
        <f t="shared" si="3"/>
        <v>155000</v>
      </c>
      <c r="N9" s="6"/>
      <c r="O9" s="15">
        <v>1000</v>
      </c>
      <c r="P9" s="15">
        <f t="shared" si="1"/>
        <v>0</v>
      </c>
    </row>
    <row r="10" spans="1:16" ht="15.75" x14ac:dyDescent="0.25">
      <c r="A10" s="37"/>
      <c r="B10" s="5" t="s">
        <v>60</v>
      </c>
      <c r="C10" s="34"/>
      <c r="D10" s="15">
        <v>1000</v>
      </c>
      <c r="E10" s="15">
        <f t="shared" si="2"/>
        <v>0</v>
      </c>
      <c r="F10" s="6"/>
      <c r="G10" s="15">
        <v>1000</v>
      </c>
      <c r="H10" s="15">
        <f t="shared" si="0"/>
        <v>0</v>
      </c>
      <c r="J10" s="5" t="s">
        <v>60</v>
      </c>
      <c r="K10" s="34"/>
      <c r="L10" s="15">
        <v>1000</v>
      </c>
      <c r="M10" s="15">
        <f t="shared" si="3"/>
        <v>0</v>
      </c>
      <c r="N10" s="6"/>
      <c r="O10" s="15">
        <v>1000</v>
      </c>
      <c r="P10" s="15">
        <f t="shared" si="1"/>
        <v>0</v>
      </c>
    </row>
    <row r="11" spans="1:16" ht="15.75" x14ac:dyDescent="0.25">
      <c r="A11" s="37"/>
      <c r="B11" s="5" t="s">
        <v>70</v>
      </c>
      <c r="C11" s="34"/>
      <c r="D11" s="15">
        <v>1000</v>
      </c>
      <c r="E11" s="15">
        <f t="shared" si="2"/>
        <v>0</v>
      </c>
      <c r="F11" s="6"/>
      <c r="G11" s="15">
        <v>1000</v>
      </c>
      <c r="H11" s="15">
        <f t="shared" si="0"/>
        <v>0</v>
      </c>
      <c r="J11" s="5" t="s">
        <v>61</v>
      </c>
      <c r="K11" s="34"/>
      <c r="L11" s="15">
        <v>1000</v>
      </c>
      <c r="M11" s="15">
        <f t="shared" si="3"/>
        <v>0</v>
      </c>
      <c r="N11" s="6"/>
      <c r="O11" s="15">
        <v>1000</v>
      </c>
      <c r="P11" s="15">
        <f t="shared" si="1"/>
        <v>0</v>
      </c>
    </row>
    <row r="12" spans="1:16" ht="15.75" x14ac:dyDescent="0.25">
      <c r="A12" s="37"/>
      <c r="B12" s="6" t="s">
        <v>2</v>
      </c>
      <c r="C12" s="34"/>
      <c r="D12" s="15">
        <v>3000</v>
      </c>
      <c r="E12" s="15">
        <f t="shared" si="2"/>
        <v>0</v>
      </c>
      <c r="F12" s="6"/>
      <c r="G12" s="15">
        <v>3000</v>
      </c>
      <c r="H12" s="15">
        <f t="shared" si="0"/>
        <v>0</v>
      </c>
      <c r="J12" s="6" t="s">
        <v>2</v>
      </c>
      <c r="K12" s="34"/>
      <c r="L12" s="15">
        <v>3000</v>
      </c>
      <c r="M12" s="15">
        <f t="shared" si="3"/>
        <v>0</v>
      </c>
      <c r="N12" s="6"/>
      <c r="O12" s="15">
        <v>3000</v>
      </c>
      <c r="P12" s="15">
        <f t="shared" si="1"/>
        <v>0</v>
      </c>
    </row>
    <row r="13" spans="1:16" ht="15.75" x14ac:dyDescent="0.25">
      <c r="A13" s="37"/>
      <c r="B13" s="6" t="s">
        <v>10</v>
      </c>
      <c r="C13" s="34">
        <v>64</v>
      </c>
      <c r="D13" s="15">
        <v>2500</v>
      </c>
      <c r="E13" s="15">
        <f t="shared" si="2"/>
        <v>160000</v>
      </c>
      <c r="F13" s="6"/>
      <c r="G13" s="15">
        <v>2500</v>
      </c>
      <c r="H13" s="15">
        <f t="shared" si="0"/>
        <v>0</v>
      </c>
      <c r="J13" s="6" t="s">
        <v>10</v>
      </c>
      <c r="K13" s="34">
        <v>144</v>
      </c>
      <c r="L13" s="15">
        <v>2500</v>
      </c>
      <c r="M13" s="15">
        <f t="shared" si="3"/>
        <v>360000</v>
      </c>
      <c r="N13" s="6"/>
      <c r="O13" s="15">
        <v>2500</v>
      </c>
      <c r="P13" s="15">
        <f t="shared" si="1"/>
        <v>0</v>
      </c>
    </row>
    <row r="14" spans="1:16" ht="18.75" x14ac:dyDescent="0.3">
      <c r="A14" s="36" t="s">
        <v>75</v>
      </c>
      <c r="B14" s="6" t="s">
        <v>11</v>
      </c>
      <c r="C14" s="33">
        <v>20</v>
      </c>
      <c r="D14" s="15">
        <v>3500</v>
      </c>
      <c r="E14" s="15">
        <f t="shared" si="2"/>
        <v>70000</v>
      </c>
      <c r="F14" s="6"/>
      <c r="G14" s="15">
        <v>3500</v>
      </c>
      <c r="H14" s="15">
        <f t="shared" si="0"/>
        <v>0</v>
      </c>
      <c r="J14" s="6" t="s">
        <v>11</v>
      </c>
      <c r="K14" s="34">
        <v>20</v>
      </c>
      <c r="L14" s="15">
        <v>3500</v>
      </c>
      <c r="M14" s="15">
        <f t="shared" si="3"/>
        <v>70000</v>
      </c>
      <c r="N14" s="6"/>
      <c r="O14" s="15">
        <v>3500</v>
      </c>
      <c r="P14" s="15">
        <f t="shared" si="1"/>
        <v>0</v>
      </c>
    </row>
    <row r="15" spans="1:16" ht="15.75" x14ac:dyDescent="0.25">
      <c r="A15" s="37"/>
      <c r="B15" s="6" t="s">
        <v>8</v>
      </c>
      <c r="C15" s="34">
        <v>8</v>
      </c>
      <c r="D15" s="15">
        <v>4000</v>
      </c>
      <c r="E15" s="15">
        <f t="shared" si="2"/>
        <v>32000</v>
      </c>
      <c r="F15" s="6"/>
      <c r="G15" s="15">
        <v>4000</v>
      </c>
      <c r="H15" s="15">
        <f t="shared" si="0"/>
        <v>0</v>
      </c>
      <c r="J15" s="6" t="s">
        <v>8</v>
      </c>
      <c r="K15" s="34">
        <v>8</v>
      </c>
      <c r="L15" s="15">
        <v>4000</v>
      </c>
      <c r="M15" s="15">
        <f t="shared" si="3"/>
        <v>32000</v>
      </c>
      <c r="N15" s="6"/>
      <c r="O15" s="15">
        <v>4000</v>
      </c>
      <c r="P15" s="15">
        <f t="shared" si="1"/>
        <v>0</v>
      </c>
    </row>
    <row r="16" spans="1:16" ht="15.75" x14ac:dyDescent="0.25">
      <c r="A16" s="37"/>
      <c r="B16" s="6" t="s">
        <v>6</v>
      </c>
      <c r="C16" s="34"/>
      <c r="D16" s="15">
        <v>4000</v>
      </c>
      <c r="E16" s="15">
        <f t="shared" si="2"/>
        <v>0</v>
      </c>
      <c r="F16" s="6"/>
      <c r="G16" s="15">
        <v>4000</v>
      </c>
      <c r="H16" s="15">
        <f t="shared" si="0"/>
        <v>0</v>
      </c>
      <c r="J16" s="6" t="s">
        <v>6</v>
      </c>
      <c r="K16" s="34"/>
      <c r="L16" s="15">
        <v>4000</v>
      </c>
      <c r="M16" s="15">
        <f t="shared" si="3"/>
        <v>0</v>
      </c>
      <c r="N16" s="6"/>
      <c r="O16" s="15">
        <v>4000</v>
      </c>
      <c r="P16" s="15">
        <f t="shared" si="1"/>
        <v>0</v>
      </c>
    </row>
    <row r="17" spans="1:16" ht="15.75" x14ac:dyDescent="0.25">
      <c r="A17" s="37"/>
      <c r="B17" s="6" t="s">
        <v>71</v>
      </c>
      <c r="C17" s="34">
        <v>81</v>
      </c>
      <c r="D17" s="15">
        <v>1000</v>
      </c>
      <c r="E17" s="15">
        <f t="shared" si="2"/>
        <v>81000</v>
      </c>
      <c r="F17" s="6"/>
      <c r="G17" s="15">
        <v>1000</v>
      </c>
      <c r="H17" s="15">
        <f t="shared" si="0"/>
        <v>0</v>
      </c>
      <c r="J17" s="6" t="s">
        <v>4</v>
      </c>
      <c r="K17" s="34">
        <v>137</v>
      </c>
      <c r="L17" s="15">
        <v>1000</v>
      </c>
      <c r="M17" s="15">
        <f t="shared" si="3"/>
        <v>137000</v>
      </c>
      <c r="N17" s="6"/>
      <c r="O17" s="15">
        <v>1000</v>
      </c>
      <c r="P17" s="15">
        <f t="shared" si="1"/>
        <v>0</v>
      </c>
    </row>
    <row r="18" spans="1:16" ht="15.75" x14ac:dyDescent="0.25">
      <c r="A18" s="37"/>
      <c r="B18" s="6" t="s">
        <v>72</v>
      </c>
      <c r="C18" s="34">
        <v>120</v>
      </c>
      <c r="D18" s="15">
        <v>2500</v>
      </c>
      <c r="E18" s="15">
        <f t="shared" si="2"/>
        <v>300000</v>
      </c>
      <c r="F18" s="6"/>
      <c r="G18" s="15">
        <v>2500</v>
      </c>
      <c r="H18" s="15">
        <f t="shared" si="0"/>
        <v>0</v>
      </c>
      <c r="J18" s="6" t="s">
        <v>1</v>
      </c>
      <c r="K18" s="34">
        <v>144</v>
      </c>
      <c r="L18" s="15">
        <v>2500</v>
      </c>
      <c r="M18" s="15">
        <f t="shared" si="3"/>
        <v>360000</v>
      </c>
      <c r="N18" s="6"/>
      <c r="O18" s="15">
        <v>2500</v>
      </c>
      <c r="P18" s="15">
        <f t="shared" si="1"/>
        <v>0</v>
      </c>
    </row>
    <row r="19" spans="1:16" ht="18.75" x14ac:dyDescent="0.3">
      <c r="A19" s="36" t="s">
        <v>75</v>
      </c>
      <c r="B19" s="5" t="s">
        <v>73</v>
      </c>
      <c r="C19" s="34">
        <v>24</v>
      </c>
      <c r="D19" s="15">
        <v>3000</v>
      </c>
      <c r="E19" s="15">
        <f t="shared" si="2"/>
        <v>72000</v>
      </c>
      <c r="F19" s="6"/>
      <c r="G19" s="15">
        <v>3000</v>
      </c>
      <c r="H19" s="15">
        <f t="shared" si="0"/>
        <v>0</v>
      </c>
      <c r="J19" s="5">
        <v>887</v>
      </c>
      <c r="K19" s="34">
        <v>80</v>
      </c>
      <c r="L19" s="15">
        <v>3000</v>
      </c>
      <c r="M19" s="15">
        <f t="shared" si="3"/>
        <v>240000</v>
      </c>
      <c r="N19" s="6"/>
      <c r="O19" s="15">
        <v>3000</v>
      </c>
      <c r="P19" s="15">
        <f t="shared" si="1"/>
        <v>0</v>
      </c>
    </row>
    <row r="20" spans="1:16" ht="15.75" x14ac:dyDescent="0.25">
      <c r="A20" s="37"/>
      <c r="B20" s="5" t="s">
        <v>53</v>
      </c>
      <c r="C20" s="34">
        <v>16.600000000000001</v>
      </c>
      <c r="D20" s="15">
        <v>2000</v>
      </c>
      <c r="E20" s="15">
        <f t="shared" si="2"/>
        <v>33200</v>
      </c>
      <c r="F20" s="6"/>
      <c r="G20" s="15">
        <v>2000</v>
      </c>
      <c r="H20" s="15">
        <f t="shared" si="0"/>
        <v>0</v>
      </c>
      <c r="J20" s="5" t="s">
        <v>53</v>
      </c>
      <c r="K20" s="34">
        <v>44.6</v>
      </c>
      <c r="L20" s="15">
        <v>2000</v>
      </c>
      <c r="M20" s="15">
        <f t="shared" si="3"/>
        <v>89200</v>
      </c>
      <c r="N20" s="6"/>
      <c r="O20" s="15">
        <v>2000</v>
      </c>
      <c r="P20" s="15">
        <f t="shared" si="1"/>
        <v>0</v>
      </c>
    </row>
    <row r="21" spans="1:16" ht="15.75" x14ac:dyDescent="0.25">
      <c r="A21" s="21"/>
      <c r="B21" s="5" t="s">
        <v>74</v>
      </c>
      <c r="C21" s="34">
        <v>11</v>
      </c>
      <c r="D21" s="15">
        <v>3500</v>
      </c>
      <c r="E21" s="15">
        <f t="shared" si="2"/>
        <v>38500</v>
      </c>
      <c r="F21" s="6">
        <v>5.4</v>
      </c>
      <c r="G21" s="15">
        <v>3500</v>
      </c>
      <c r="H21" s="15">
        <f t="shared" si="0"/>
        <v>18900</v>
      </c>
      <c r="J21" s="5" t="s">
        <v>54</v>
      </c>
      <c r="K21" s="34">
        <v>11</v>
      </c>
      <c r="L21" s="15">
        <v>3500</v>
      </c>
      <c r="M21" s="15">
        <f t="shared" si="3"/>
        <v>38500</v>
      </c>
      <c r="N21" s="6">
        <v>5.4</v>
      </c>
      <c r="O21" s="15">
        <v>3500</v>
      </c>
      <c r="P21" s="15">
        <f t="shared" si="1"/>
        <v>18900</v>
      </c>
    </row>
    <row r="22" spans="1:16" ht="15.75" x14ac:dyDescent="0.25">
      <c r="A22" s="21"/>
      <c r="B22" s="5" t="s">
        <v>55</v>
      </c>
      <c r="C22" s="34"/>
      <c r="D22" s="15"/>
      <c r="E22" s="15">
        <f t="shared" si="2"/>
        <v>0</v>
      </c>
      <c r="F22" s="6"/>
      <c r="G22" s="15"/>
      <c r="H22" s="15">
        <f t="shared" si="0"/>
        <v>0</v>
      </c>
      <c r="J22" s="5" t="s">
        <v>55</v>
      </c>
      <c r="K22" s="34"/>
      <c r="L22" s="15"/>
      <c r="M22" s="15">
        <f t="shared" si="3"/>
        <v>0</v>
      </c>
      <c r="N22" s="6"/>
      <c r="O22" s="15"/>
      <c r="P22" s="15">
        <f t="shared" si="1"/>
        <v>0</v>
      </c>
    </row>
    <row r="23" spans="1:16" ht="15.75" x14ac:dyDescent="0.25">
      <c r="A23" s="21"/>
      <c r="B23" s="5" t="s">
        <v>56</v>
      </c>
      <c r="C23" s="34"/>
      <c r="D23" s="15"/>
      <c r="E23" s="15">
        <f t="shared" si="2"/>
        <v>0</v>
      </c>
      <c r="F23" s="6"/>
      <c r="G23" s="15"/>
      <c r="H23" s="15">
        <f t="shared" si="0"/>
        <v>0</v>
      </c>
      <c r="J23" s="5" t="s">
        <v>56</v>
      </c>
      <c r="K23" s="34"/>
      <c r="L23" s="15"/>
      <c r="M23" s="15">
        <f t="shared" si="3"/>
        <v>0</v>
      </c>
      <c r="N23" s="6"/>
      <c r="O23" s="15"/>
      <c r="P23" s="15">
        <f t="shared" si="1"/>
        <v>0</v>
      </c>
    </row>
    <row r="24" spans="1:16" ht="15.75" x14ac:dyDescent="0.25">
      <c r="A24" s="21"/>
      <c r="B24" s="5" t="s">
        <v>57</v>
      </c>
      <c r="C24" s="34"/>
      <c r="D24" s="15"/>
      <c r="E24" s="15">
        <f t="shared" si="2"/>
        <v>0</v>
      </c>
      <c r="F24" s="6"/>
      <c r="G24" s="15"/>
      <c r="H24" s="15">
        <f t="shared" si="0"/>
        <v>0</v>
      </c>
      <c r="J24" s="5" t="s">
        <v>57</v>
      </c>
      <c r="K24" s="34"/>
      <c r="L24" s="15"/>
      <c r="M24" s="15">
        <f t="shared" si="3"/>
        <v>0</v>
      </c>
      <c r="N24" s="6"/>
      <c r="O24" s="15"/>
      <c r="P24" s="15">
        <f t="shared" si="1"/>
        <v>0</v>
      </c>
    </row>
    <row r="25" spans="1:16" ht="15.75" x14ac:dyDescent="0.25">
      <c r="A25" s="21"/>
      <c r="B25" s="12" t="s">
        <v>36</v>
      </c>
      <c r="C25" s="13">
        <f>SUM(C4:C24)</f>
        <v>937.1</v>
      </c>
      <c r="D25" s="16"/>
      <c r="E25" s="16">
        <f>SUM(E4:E24)</f>
        <v>2114200</v>
      </c>
      <c r="F25" s="13">
        <f>SUM(F4:F24)</f>
        <v>86.4</v>
      </c>
      <c r="G25" s="16"/>
      <c r="H25" s="16">
        <f>SUM(H4:H24)</f>
        <v>302400</v>
      </c>
      <c r="J25" s="12" t="s">
        <v>64</v>
      </c>
      <c r="K25" s="13">
        <f>SUM(K4:K24)</f>
        <v>1449.6</v>
      </c>
      <c r="L25" s="16"/>
      <c r="M25" s="16">
        <f>SUM(M4:M24)</f>
        <v>3382700</v>
      </c>
      <c r="N25" s="13">
        <f>SUM(N4:N24)</f>
        <v>86.4</v>
      </c>
      <c r="O25" s="16"/>
      <c r="P25" s="16">
        <f>SUM(P4:P24)</f>
        <v>302400</v>
      </c>
    </row>
    <row r="26" spans="1:16" ht="15.75" x14ac:dyDescent="0.25">
      <c r="A26" s="21"/>
      <c r="B26" s="12"/>
      <c r="C26" s="13"/>
      <c r="D26" s="13"/>
      <c r="E26" s="16"/>
      <c r="F26" s="13"/>
      <c r="G26" s="13"/>
      <c r="H26" s="16"/>
      <c r="J26" s="12" t="s">
        <v>65</v>
      </c>
      <c r="K26" s="13">
        <v>917.1</v>
      </c>
      <c r="L26" s="13"/>
      <c r="M26" s="16">
        <v>2114200</v>
      </c>
      <c r="N26" s="13">
        <v>86.4</v>
      </c>
      <c r="O26" s="13"/>
      <c r="P26" s="16">
        <v>302400</v>
      </c>
    </row>
    <row r="27" spans="1:16" ht="15.75" x14ac:dyDescent="0.25">
      <c r="A27" s="21"/>
      <c r="B27" s="12" t="s">
        <v>23</v>
      </c>
      <c r="C27" s="13"/>
      <c r="D27" s="12"/>
      <c r="E27" s="16"/>
      <c r="F27" s="12"/>
      <c r="G27" s="12"/>
      <c r="H27" s="16">
        <f>H25-H26</f>
        <v>302400</v>
      </c>
      <c r="J27" s="12" t="s">
        <v>66</v>
      </c>
      <c r="K27" s="13">
        <f>K25-K26</f>
        <v>532.49999999999989</v>
      </c>
      <c r="L27" s="12"/>
      <c r="M27" s="16">
        <f>M25-M26</f>
        <v>1268500</v>
      </c>
      <c r="N27" s="13">
        <f>N25-N26</f>
        <v>0</v>
      </c>
      <c r="O27" s="12"/>
      <c r="P27" s="13">
        <f>P25-P26</f>
        <v>0</v>
      </c>
    </row>
    <row r="29" spans="1:16" ht="15.75" x14ac:dyDescent="0.25">
      <c r="B29" s="1"/>
      <c r="C29" s="14" t="s">
        <v>67</v>
      </c>
      <c r="D29" s="1"/>
      <c r="E29" s="14" t="s">
        <v>25</v>
      </c>
      <c r="F29" s="35" t="s">
        <v>62</v>
      </c>
      <c r="G29" s="1"/>
      <c r="H29" s="1"/>
    </row>
    <row r="30" spans="1:16" ht="15.75" x14ac:dyDescent="0.25">
      <c r="B30" s="9" t="s">
        <v>22</v>
      </c>
      <c r="C30" s="10" t="s">
        <v>17</v>
      </c>
      <c r="D30" s="2" t="s">
        <v>50</v>
      </c>
      <c r="E30" s="3"/>
      <c r="F30" s="10" t="s">
        <v>21</v>
      </c>
      <c r="G30" s="2"/>
      <c r="H30" s="3"/>
    </row>
    <row r="31" spans="1:16" ht="15.75" x14ac:dyDescent="0.25">
      <c r="B31" s="8"/>
      <c r="C31" s="4" t="s">
        <v>18</v>
      </c>
      <c r="D31" s="8" t="s">
        <v>19</v>
      </c>
      <c r="E31" s="11" t="s">
        <v>20</v>
      </c>
      <c r="F31" s="8" t="s">
        <v>18</v>
      </c>
      <c r="G31" s="8" t="s">
        <v>19</v>
      </c>
      <c r="H31" s="11" t="s">
        <v>20</v>
      </c>
    </row>
    <row r="32" spans="1:16" ht="15.75" x14ac:dyDescent="0.25">
      <c r="B32" s="5" t="s">
        <v>52</v>
      </c>
      <c r="C32" s="33">
        <f>K4-C4</f>
        <v>64</v>
      </c>
      <c r="D32" s="15">
        <v>3500</v>
      </c>
      <c r="E32" s="15">
        <f t="shared" ref="E32:E52" si="4">C32*D32</f>
        <v>224000</v>
      </c>
      <c r="F32" s="1"/>
      <c r="G32" s="15">
        <v>3500</v>
      </c>
      <c r="H32" s="15">
        <f t="shared" ref="H32:H52" si="5">F32*G32</f>
        <v>0</v>
      </c>
    </row>
    <row r="33" spans="2:8" ht="15.75" x14ac:dyDescent="0.25">
      <c r="B33" s="6" t="s">
        <v>7</v>
      </c>
      <c r="C33" s="33">
        <f t="shared" ref="C33:C50" si="6">K5-C5</f>
        <v>24</v>
      </c>
      <c r="D33" s="15">
        <v>1000</v>
      </c>
      <c r="E33" s="15">
        <f t="shared" si="4"/>
        <v>24000</v>
      </c>
      <c r="F33" s="6"/>
      <c r="G33" s="15">
        <v>1000</v>
      </c>
      <c r="H33" s="15">
        <f t="shared" si="5"/>
        <v>0</v>
      </c>
    </row>
    <row r="34" spans="2:8" ht="15.75" x14ac:dyDescent="0.25">
      <c r="B34" s="6" t="s">
        <v>9</v>
      </c>
      <c r="C34" s="33">
        <f t="shared" si="6"/>
        <v>120</v>
      </c>
      <c r="D34" s="15">
        <v>3500</v>
      </c>
      <c r="E34" s="15">
        <f t="shared" si="4"/>
        <v>420000</v>
      </c>
      <c r="F34" s="6"/>
      <c r="G34" s="15">
        <v>3500</v>
      </c>
      <c r="H34" s="15">
        <f t="shared" si="5"/>
        <v>0</v>
      </c>
    </row>
    <row r="35" spans="2:8" ht="15.75" x14ac:dyDescent="0.25">
      <c r="B35" s="6" t="s">
        <v>5</v>
      </c>
      <c r="C35" s="33">
        <f t="shared" si="6"/>
        <v>0</v>
      </c>
      <c r="D35" s="15">
        <v>3500</v>
      </c>
      <c r="E35" s="15">
        <f t="shared" si="4"/>
        <v>0</v>
      </c>
      <c r="F35" s="6"/>
      <c r="G35" s="15">
        <v>3500</v>
      </c>
      <c r="H35" s="15">
        <f t="shared" si="5"/>
        <v>0</v>
      </c>
    </row>
    <row r="36" spans="2:8" ht="15.75" x14ac:dyDescent="0.25">
      <c r="B36" s="6" t="s">
        <v>3</v>
      </c>
      <c r="C36" s="33">
        <f t="shared" si="6"/>
        <v>0</v>
      </c>
      <c r="D36" s="15">
        <v>3500</v>
      </c>
      <c r="E36" s="15">
        <f t="shared" si="4"/>
        <v>0</v>
      </c>
      <c r="F36" s="6"/>
      <c r="G36" s="15">
        <v>3500</v>
      </c>
      <c r="H36" s="15">
        <f t="shared" si="5"/>
        <v>0</v>
      </c>
    </row>
    <row r="37" spans="2:8" ht="15.75" x14ac:dyDescent="0.25">
      <c r="B37" s="6" t="s">
        <v>12</v>
      </c>
      <c r="C37" s="33">
        <f t="shared" si="6"/>
        <v>60.5</v>
      </c>
      <c r="D37" s="15">
        <v>1000</v>
      </c>
      <c r="E37" s="15">
        <f t="shared" si="4"/>
        <v>60500</v>
      </c>
      <c r="F37" s="6"/>
      <c r="G37" s="15">
        <v>1000</v>
      </c>
      <c r="H37" s="15">
        <f t="shared" si="5"/>
        <v>0</v>
      </c>
    </row>
    <row r="38" spans="2:8" ht="15.75" x14ac:dyDescent="0.25">
      <c r="B38" s="5" t="s">
        <v>60</v>
      </c>
      <c r="C38" s="33">
        <f t="shared" si="6"/>
        <v>0</v>
      </c>
      <c r="D38" s="15">
        <v>1000</v>
      </c>
      <c r="E38" s="15">
        <f t="shared" si="4"/>
        <v>0</v>
      </c>
      <c r="F38" s="6"/>
      <c r="G38" s="15">
        <v>1000</v>
      </c>
      <c r="H38" s="15">
        <f t="shared" si="5"/>
        <v>0</v>
      </c>
    </row>
    <row r="39" spans="2:8" ht="15.75" x14ac:dyDescent="0.25">
      <c r="B39" s="5" t="s">
        <v>61</v>
      </c>
      <c r="C39" s="33">
        <f t="shared" si="6"/>
        <v>0</v>
      </c>
      <c r="D39" s="15">
        <v>1000</v>
      </c>
      <c r="E39" s="15">
        <f t="shared" si="4"/>
        <v>0</v>
      </c>
      <c r="F39" s="6"/>
      <c r="G39" s="15">
        <v>1000</v>
      </c>
      <c r="H39" s="15">
        <f t="shared" si="5"/>
        <v>0</v>
      </c>
    </row>
    <row r="40" spans="2:8" ht="15.75" x14ac:dyDescent="0.25">
      <c r="B40" s="6" t="s">
        <v>2</v>
      </c>
      <c r="C40" s="33">
        <f t="shared" si="6"/>
        <v>0</v>
      </c>
      <c r="D40" s="15">
        <v>3000</v>
      </c>
      <c r="E40" s="15">
        <f t="shared" si="4"/>
        <v>0</v>
      </c>
      <c r="F40" s="6"/>
      <c r="G40" s="15">
        <v>3000</v>
      </c>
      <c r="H40" s="15">
        <f t="shared" si="5"/>
        <v>0</v>
      </c>
    </row>
    <row r="41" spans="2:8" ht="15.75" x14ac:dyDescent="0.25">
      <c r="B41" s="6" t="s">
        <v>10</v>
      </c>
      <c r="C41" s="33">
        <f t="shared" si="6"/>
        <v>80</v>
      </c>
      <c r="D41" s="15">
        <v>2500</v>
      </c>
      <c r="E41" s="15">
        <f t="shared" si="4"/>
        <v>200000</v>
      </c>
      <c r="F41" s="6"/>
      <c r="G41" s="15">
        <v>2500</v>
      </c>
      <c r="H41" s="15">
        <f t="shared" si="5"/>
        <v>0</v>
      </c>
    </row>
    <row r="42" spans="2:8" ht="15.75" x14ac:dyDescent="0.25">
      <c r="B42" s="6" t="s">
        <v>11</v>
      </c>
      <c r="C42" s="33">
        <f t="shared" si="6"/>
        <v>0</v>
      </c>
      <c r="D42" s="15">
        <v>3500</v>
      </c>
      <c r="E42" s="15">
        <f t="shared" si="4"/>
        <v>0</v>
      </c>
      <c r="F42" s="6"/>
      <c r="G42" s="15">
        <v>3500</v>
      </c>
      <c r="H42" s="15">
        <f t="shared" si="5"/>
        <v>0</v>
      </c>
    </row>
    <row r="43" spans="2:8" ht="15.75" x14ac:dyDescent="0.25">
      <c r="B43" s="6" t="s">
        <v>8</v>
      </c>
      <c r="C43" s="33">
        <f t="shared" si="6"/>
        <v>0</v>
      </c>
      <c r="D43" s="15">
        <v>4000</v>
      </c>
      <c r="E43" s="15">
        <f t="shared" si="4"/>
        <v>0</v>
      </c>
      <c r="F43" s="6"/>
      <c r="G43" s="15">
        <v>4000</v>
      </c>
      <c r="H43" s="15">
        <f t="shared" si="5"/>
        <v>0</v>
      </c>
    </row>
    <row r="44" spans="2:8" ht="15.75" x14ac:dyDescent="0.25">
      <c r="B44" s="6" t="s">
        <v>6</v>
      </c>
      <c r="C44" s="33">
        <f t="shared" si="6"/>
        <v>0</v>
      </c>
      <c r="D44" s="15">
        <v>4000</v>
      </c>
      <c r="E44" s="15">
        <f t="shared" si="4"/>
        <v>0</v>
      </c>
      <c r="F44" s="6"/>
      <c r="G44" s="15">
        <v>4000</v>
      </c>
      <c r="H44" s="15">
        <f t="shared" si="5"/>
        <v>0</v>
      </c>
    </row>
    <row r="45" spans="2:8" ht="15.75" x14ac:dyDescent="0.25">
      <c r="B45" s="6" t="s">
        <v>4</v>
      </c>
      <c r="C45" s="33">
        <f t="shared" si="6"/>
        <v>56</v>
      </c>
      <c r="D45" s="15">
        <v>1000</v>
      </c>
      <c r="E45" s="15">
        <f t="shared" si="4"/>
        <v>56000</v>
      </c>
      <c r="F45" s="6"/>
      <c r="G45" s="15">
        <v>1000</v>
      </c>
      <c r="H45" s="15">
        <f t="shared" si="5"/>
        <v>0</v>
      </c>
    </row>
    <row r="46" spans="2:8" ht="15.75" x14ac:dyDescent="0.25">
      <c r="B46" s="6" t="s">
        <v>1</v>
      </c>
      <c r="C46" s="33">
        <f t="shared" si="6"/>
        <v>24</v>
      </c>
      <c r="D46" s="15">
        <v>2500</v>
      </c>
      <c r="E46" s="15">
        <f t="shared" si="4"/>
        <v>60000</v>
      </c>
      <c r="F46" s="6"/>
      <c r="G46" s="15">
        <v>2500</v>
      </c>
      <c r="H46" s="15">
        <f t="shared" si="5"/>
        <v>0</v>
      </c>
    </row>
    <row r="47" spans="2:8" ht="15.75" x14ac:dyDescent="0.25">
      <c r="B47" s="5">
        <v>887</v>
      </c>
      <c r="C47" s="33">
        <f t="shared" si="6"/>
        <v>56</v>
      </c>
      <c r="D47" s="15">
        <v>3000</v>
      </c>
      <c r="E47" s="15">
        <f t="shared" si="4"/>
        <v>168000</v>
      </c>
      <c r="F47" s="6"/>
      <c r="G47" s="15">
        <v>3000</v>
      </c>
      <c r="H47" s="15">
        <f t="shared" si="5"/>
        <v>0</v>
      </c>
    </row>
    <row r="48" spans="2:8" ht="15.75" x14ac:dyDescent="0.25">
      <c r="B48" s="5" t="s">
        <v>53</v>
      </c>
      <c r="C48" s="33">
        <f t="shared" si="6"/>
        <v>28</v>
      </c>
      <c r="D48" s="15">
        <v>2000</v>
      </c>
      <c r="E48" s="15">
        <f t="shared" si="4"/>
        <v>56000</v>
      </c>
      <c r="F48" s="6"/>
      <c r="G48" s="15">
        <v>2000</v>
      </c>
      <c r="H48" s="15">
        <f t="shared" si="5"/>
        <v>0</v>
      </c>
    </row>
    <row r="49" spans="2:8" ht="15.75" x14ac:dyDescent="0.25">
      <c r="B49" s="5" t="s">
        <v>54</v>
      </c>
      <c r="C49" s="33">
        <f t="shared" si="6"/>
        <v>0</v>
      </c>
      <c r="D49" s="15">
        <v>3500</v>
      </c>
      <c r="E49" s="15">
        <f t="shared" si="4"/>
        <v>0</v>
      </c>
      <c r="F49" s="6"/>
      <c r="G49" s="15">
        <v>3500</v>
      </c>
      <c r="H49" s="15">
        <f t="shared" si="5"/>
        <v>0</v>
      </c>
    </row>
    <row r="50" spans="2:8" ht="15.75" x14ac:dyDescent="0.25">
      <c r="B50" s="5" t="s">
        <v>55</v>
      </c>
      <c r="C50" s="33">
        <f t="shared" si="6"/>
        <v>0</v>
      </c>
      <c r="D50" s="15"/>
      <c r="E50" s="15">
        <f t="shared" si="4"/>
        <v>0</v>
      </c>
      <c r="F50" s="6"/>
      <c r="G50" s="15"/>
      <c r="H50" s="15">
        <f t="shared" si="5"/>
        <v>0</v>
      </c>
    </row>
    <row r="51" spans="2:8" ht="15.75" x14ac:dyDescent="0.25">
      <c r="B51" s="5" t="s">
        <v>56</v>
      </c>
      <c r="C51" s="33">
        <f t="shared" ref="C51" si="7">K23-C23</f>
        <v>0</v>
      </c>
      <c r="D51" s="15"/>
      <c r="E51" s="15">
        <f t="shared" si="4"/>
        <v>0</v>
      </c>
      <c r="F51" s="6"/>
      <c r="G51" s="15"/>
      <c r="H51" s="15">
        <f t="shared" si="5"/>
        <v>0</v>
      </c>
    </row>
    <row r="52" spans="2:8" ht="15.75" x14ac:dyDescent="0.25">
      <c r="B52" s="5" t="s">
        <v>57</v>
      </c>
      <c r="C52" s="34"/>
      <c r="D52" s="15"/>
      <c r="E52" s="15">
        <f t="shared" si="4"/>
        <v>0</v>
      </c>
      <c r="F52" s="6"/>
      <c r="G52" s="15"/>
      <c r="H52" s="15">
        <f t="shared" si="5"/>
        <v>0</v>
      </c>
    </row>
    <row r="53" spans="2:8" ht="15.75" x14ac:dyDescent="0.25">
      <c r="B53" s="12" t="s">
        <v>36</v>
      </c>
      <c r="C53" s="13">
        <f>SUM(C32:C52)</f>
        <v>512.5</v>
      </c>
      <c r="D53" s="16"/>
      <c r="E53" s="16">
        <f>SUM(E32:E52)</f>
        <v>1268500</v>
      </c>
      <c r="F53" s="13">
        <f>SUM(F32:F52)</f>
        <v>0</v>
      </c>
      <c r="G53" s="16"/>
      <c r="H53" s="13">
        <f>SUM(H32:H52)</f>
        <v>0</v>
      </c>
    </row>
    <row r="54" spans="2:8" ht="15.75" x14ac:dyDescent="0.25">
      <c r="B54" s="1"/>
      <c r="C54" s="1"/>
      <c r="D54" s="1"/>
      <c r="E54" s="1"/>
      <c r="F54" s="1"/>
      <c r="G54" s="1"/>
      <c r="H54" s="1"/>
    </row>
  </sheetData>
  <pageMargins left="0.70866141732283472" right="0.70866141732283472" top="0.35433070866141736" bottom="0.15748031496062992" header="0.31496062992125984" footer="0.31496062992125984"/>
  <pageSetup paperSize="9" scale="48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61"/>
  <sheetViews>
    <sheetView tabSelected="1" zoomScale="85" zoomScaleNormal="85" workbookViewId="0">
      <selection activeCell="U26" sqref="U26"/>
    </sheetView>
  </sheetViews>
  <sheetFormatPr defaultRowHeight="15" x14ac:dyDescent="0.25"/>
  <cols>
    <col min="2" max="2" width="39.5703125" customWidth="1"/>
    <col min="5" max="5" width="14.5703125" customWidth="1"/>
    <col min="8" max="8" width="14.42578125" customWidth="1"/>
    <col min="12" max="12" width="31.140625" customWidth="1"/>
    <col min="15" max="15" width="14.42578125" customWidth="1"/>
    <col min="18" max="18" width="13.5703125" customWidth="1"/>
    <col min="19" max="19" width="11.140625" customWidth="1"/>
    <col min="21" max="21" width="13.5703125" customWidth="1"/>
  </cols>
  <sheetData>
    <row r="2" spans="1:26" ht="15.75" x14ac:dyDescent="0.25">
      <c r="B2" s="1"/>
      <c r="C2" s="14" t="s">
        <v>77</v>
      </c>
      <c r="D2" s="1"/>
      <c r="E2" s="14" t="s">
        <v>25</v>
      </c>
      <c r="F2" s="14" t="s">
        <v>63</v>
      </c>
      <c r="G2" s="1"/>
      <c r="H2" s="1"/>
      <c r="L2" s="1"/>
      <c r="M2" s="14" t="s">
        <v>77</v>
      </c>
      <c r="N2" s="1"/>
      <c r="O2" s="14" t="s">
        <v>25</v>
      </c>
      <c r="P2" s="14"/>
      <c r="Q2" s="1"/>
      <c r="R2" s="1"/>
      <c r="S2" s="14"/>
      <c r="T2" s="1"/>
      <c r="U2" s="1"/>
    </row>
    <row r="3" spans="1:26" ht="15.75" x14ac:dyDescent="0.25">
      <c r="A3" s="21"/>
      <c r="B3" s="9" t="s">
        <v>22</v>
      </c>
      <c r="C3" s="10" t="s">
        <v>17</v>
      </c>
      <c r="D3" s="2" t="s">
        <v>50</v>
      </c>
      <c r="E3" s="3"/>
      <c r="F3" s="10" t="s">
        <v>21</v>
      </c>
      <c r="G3" s="2"/>
      <c r="H3" s="3"/>
      <c r="K3" s="21"/>
      <c r="L3" s="9" t="s">
        <v>22</v>
      </c>
      <c r="M3" s="10" t="s">
        <v>17</v>
      </c>
      <c r="N3" s="2" t="s">
        <v>50</v>
      </c>
      <c r="O3" s="3"/>
      <c r="P3" s="10" t="s">
        <v>21</v>
      </c>
      <c r="Q3" s="2"/>
      <c r="R3" s="3"/>
      <c r="S3" s="10" t="s">
        <v>17</v>
      </c>
      <c r="T3" s="2" t="s">
        <v>48</v>
      </c>
      <c r="U3" s="3"/>
    </row>
    <row r="4" spans="1:26" ht="15.75" x14ac:dyDescent="0.25">
      <c r="A4" s="21"/>
      <c r="B4" s="8"/>
      <c r="C4" s="4" t="s">
        <v>18</v>
      </c>
      <c r="D4" s="8" t="s">
        <v>19</v>
      </c>
      <c r="E4" s="11" t="s">
        <v>20</v>
      </c>
      <c r="F4" s="8" t="s">
        <v>18</v>
      </c>
      <c r="G4" s="8" t="s">
        <v>19</v>
      </c>
      <c r="H4" s="11" t="s">
        <v>20</v>
      </c>
      <c r="K4" s="21"/>
      <c r="L4" s="8"/>
      <c r="M4" s="4" t="s">
        <v>18</v>
      </c>
      <c r="N4" s="8" t="s">
        <v>19</v>
      </c>
      <c r="O4" s="11" t="s">
        <v>20</v>
      </c>
      <c r="P4" s="8" t="s">
        <v>18</v>
      </c>
      <c r="Q4" s="8" t="s">
        <v>19</v>
      </c>
      <c r="R4" s="11" t="s">
        <v>20</v>
      </c>
      <c r="S4" s="8" t="s">
        <v>18</v>
      </c>
      <c r="T4" s="8" t="s">
        <v>19</v>
      </c>
      <c r="U4" s="11" t="s">
        <v>20</v>
      </c>
    </row>
    <row r="5" spans="1:26" ht="18.75" x14ac:dyDescent="0.3">
      <c r="A5" s="36">
        <v>271</v>
      </c>
      <c r="B5" s="5" t="s">
        <v>68</v>
      </c>
      <c r="C5" s="33"/>
      <c r="D5" s="45">
        <f>$X$5</f>
        <v>1750</v>
      </c>
      <c r="E5" s="45">
        <f>C5*D5</f>
        <v>0</v>
      </c>
      <c r="F5" s="59">
        <v>152</v>
      </c>
      <c r="G5" s="45">
        <f>$X$5</f>
        <v>1750</v>
      </c>
      <c r="H5" s="15">
        <f t="shared" ref="H5:H27" si="0">F5*G5</f>
        <v>266000</v>
      </c>
      <c r="K5" s="36">
        <v>271</v>
      </c>
      <c r="L5" s="5" t="s">
        <v>68</v>
      </c>
      <c r="M5" s="33"/>
      <c r="N5" s="45">
        <f>$X$5</f>
        <v>1750</v>
      </c>
      <c r="O5" s="15">
        <f>M5*N5</f>
        <v>0</v>
      </c>
      <c r="P5" s="65">
        <v>14</v>
      </c>
      <c r="Q5" s="45">
        <f>$X$5</f>
        <v>1750</v>
      </c>
      <c r="R5" s="15">
        <f t="shared" ref="R5:R27" si="1">P5*Q5</f>
        <v>24500</v>
      </c>
      <c r="S5" s="62">
        <v>40</v>
      </c>
      <c r="T5" s="45">
        <f>$X$5</f>
        <v>1750</v>
      </c>
      <c r="U5" s="15">
        <f t="shared" ref="U5:U27" si="2">S5*T5</f>
        <v>70000</v>
      </c>
      <c r="X5" s="45">
        <f>Y5</f>
        <v>1750</v>
      </c>
      <c r="Y5">
        <f>Z5/2</f>
        <v>1750</v>
      </c>
      <c r="Z5" s="45">
        <v>3500</v>
      </c>
    </row>
    <row r="6" spans="1:26" ht="15.75" x14ac:dyDescent="0.25">
      <c r="A6" s="37"/>
      <c r="B6" s="6" t="s">
        <v>7</v>
      </c>
      <c r="C6" s="34">
        <v>180</v>
      </c>
      <c r="D6" s="45">
        <f>$X$6</f>
        <v>500</v>
      </c>
      <c r="E6" s="45">
        <f t="shared" ref="E6:E27" si="3">C6*D6</f>
        <v>90000</v>
      </c>
      <c r="F6" s="44"/>
      <c r="G6" s="45">
        <f>$X$6</f>
        <v>500</v>
      </c>
      <c r="H6" s="15">
        <f t="shared" si="0"/>
        <v>0</v>
      </c>
      <c r="K6" s="37"/>
      <c r="L6" s="6" t="s">
        <v>7</v>
      </c>
      <c r="M6" s="34">
        <v>180</v>
      </c>
      <c r="N6" s="45">
        <f>$X$6</f>
        <v>500</v>
      </c>
      <c r="O6" s="15">
        <f t="shared" ref="O6:O27" si="4">M6*N6</f>
        <v>90000</v>
      </c>
      <c r="P6" s="6"/>
      <c r="Q6" s="45">
        <f>$X$6</f>
        <v>500</v>
      </c>
      <c r="R6" s="15">
        <f t="shared" si="1"/>
        <v>0</v>
      </c>
      <c r="S6" s="6"/>
      <c r="T6" s="45">
        <f>$X$6</f>
        <v>500</v>
      </c>
      <c r="U6" s="15">
        <f t="shared" si="2"/>
        <v>0</v>
      </c>
      <c r="X6" s="45">
        <f t="shared" ref="X6:X24" si="5">Y6</f>
        <v>500</v>
      </c>
      <c r="Y6">
        <f t="shared" ref="Y6:Y24" si="6">Z6/2</f>
        <v>500</v>
      </c>
      <c r="Z6" s="45">
        <v>1000</v>
      </c>
    </row>
    <row r="7" spans="1:26" ht="15.75" x14ac:dyDescent="0.25">
      <c r="A7" s="37"/>
      <c r="B7" s="6" t="s">
        <v>9</v>
      </c>
      <c r="C7" s="34">
        <v>8</v>
      </c>
      <c r="D7" s="45">
        <f>$X$7</f>
        <v>1750</v>
      </c>
      <c r="E7" s="45">
        <f t="shared" si="3"/>
        <v>14000</v>
      </c>
      <c r="F7" s="44">
        <v>16</v>
      </c>
      <c r="G7" s="45">
        <f>$X$7</f>
        <v>1750</v>
      </c>
      <c r="H7" s="15">
        <f t="shared" si="0"/>
        <v>28000</v>
      </c>
      <c r="K7" s="37"/>
      <c r="L7" s="6" t="s">
        <v>9</v>
      </c>
      <c r="M7" s="61">
        <v>0</v>
      </c>
      <c r="N7" s="45">
        <f>$X$7</f>
        <v>1750</v>
      </c>
      <c r="O7" s="15">
        <f t="shared" si="4"/>
        <v>0</v>
      </c>
      <c r="P7" s="6">
        <v>16</v>
      </c>
      <c r="Q7" s="45">
        <f>$X$7</f>
        <v>1750</v>
      </c>
      <c r="R7" s="15">
        <f t="shared" si="1"/>
        <v>28000</v>
      </c>
      <c r="S7" s="60">
        <v>8</v>
      </c>
      <c r="T7" s="45">
        <f>$X$7</f>
        <v>1750</v>
      </c>
      <c r="U7" s="15">
        <f t="shared" si="2"/>
        <v>14000</v>
      </c>
      <c r="X7" s="45">
        <f t="shared" si="5"/>
        <v>1750</v>
      </c>
      <c r="Y7">
        <f t="shared" si="6"/>
        <v>1750</v>
      </c>
      <c r="Z7" s="45">
        <v>3500</v>
      </c>
    </row>
    <row r="8" spans="1:26" ht="18.75" x14ac:dyDescent="0.3">
      <c r="A8" s="36" t="s">
        <v>75</v>
      </c>
      <c r="B8" s="6" t="s">
        <v>5</v>
      </c>
      <c r="C8" s="34">
        <v>57</v>
      </c>
      <c r="D8" s="45">
        <f>$X$8</f>
        <v>1750</v>
      </c>
      <c r="E8" s="45">
        <f t="shared" si="3"/>
        <v>99750</v>
      </c>
      <c r="F8" s="44">
        <v>16</v>
      </c>
      <c r="G8" s="45">
        <f>$X$8</f>
        <v>1750</v>
      </c>
      <c r="H8" s="15">
        <f t="shared" si="0"/>
        <v>28000</v>
      </c>
      <c r="K8" s="36" t="s">
        <v>75</v>
      </c>
      <c r="L8" s="6" t="s">
        <v>5</v>
      </c>
      <c r="M8" s="61">
        <f>57-S8</f>
        <v>37</v>
      </c>
      <c r="N8" s="45">
        <f>$X$8</f>
        <v>1750</v>
      </c>
      <c r="O8" s="15">
        <f t="shared" si="4"/>
        <v>64750</v>
      </c>
      <c r="P8" s="6">
        <v>16</v>
      </c>
      <c r="Q8" s="45">
        <f>$X$8</f>
        <v>1750</v>
      </c>
      <c r="R8" s="15">
        <f t="shared" si="1"/>
        <v>28000</v>
      </c>
      <c r="S8" s="60">
        <v>20</v>
      </c>
      <c r="T8" s="45">
        <f>$X$8</f>
        <v>1750</v>
      </c>
      <c r="U8" s="15">
        <f t="shared" si="2"/>
        <v>35000</v>
      </c>
      <c r="X8" s="45">
        <f t="shared" si="5"/>
        <v>1750</v>
      </c>
      <c r="Y8">
        <f t="shared" si="6"/>
        <v>1750</v>
      </c>
      <c r="Z8" s="45">
        <v>3500</v>
      </c>
    </row>
    <row r="9" spans="1:26" ht="15.75" x14ac:dyDescent="0.25">
      <c r="A9" s="37"/>
      <c r="B9" s="6" t="s">
        <v>3</v>
      </c>
      <c r="C9" s="34">
        <v>35</v>
      </c>
      <c r="D9" s="45">
        <f>$X$9</f>
        <v>1750</v>
      </c>
      <c r="E9" s="45">
        <f t="shared" si="3"/>
        <v>61250</v>
      </c>
      <c r="F9" s="44"/>
      <c r="G9" s="45">
        <f>$X$9</f>
        <v>1750</v>
      </c>
      <c r="H9" s="15">
        <f t="shared" si="0"/>
        <v>0</v>
      </c>
      <c r="K9" s="37"/>
      <c r="L9" s="6" t="s">
        <v>3</v>
      </c>
      <c r="M9" s="61">
        <v>35</v>
      </c>
      <c r="N9" s="45">
        <f>$X$9</f>
        <v>1750</v>
      </c>
      <c r="O9" s="15">
        <f t="shared" si="4"/>
        <v>61250</v>
      </c>
      <c r="P9" s="6"/>
      <c r="Q9" s="45">
        <f>$X$9</f>
        <v>1750</v>
      </c>
      <c r="R9" s="15">
        <f t="shared" si="1"/>
        <v>0</v>
      </c>
      <c r="S9" s="6"/>
      <c r="T9" s="45">
        <f>$X$9</f>
        <v>1750</v>
      </c>
      <c r="U9" s="15">
        <f t="shared" si="2"/>
        <v>0</v>
      </c>
      <c r="X9" s="45">
        <f t="shared" si="5"/>
        <v>1750</v>
      </c>
      <c r="Y9">
        <f t="shared" si="6"/>
        <v>1750</v>
      </c>
      <c r="Z9" s="45">
        <v>3500</v>
      </c>
    </row>
    <row r="10" spans="1:26" ht="15.75" x14ac:dyDescent="0.25">
      <c r="A10" s="37"/>
      <c r="B10" s="6" t="s">
        <v>69</v>
      </c>
      <c r="C10" s="34">
        <v>120</v>
      </c>
      <c r="D10" s="45">
        <f>$X$10</f>
        <v>500</v>
      </c>
      <c r="E10" s="45">
        <f t="shared" si="3"/>
        <v>60000</v>
      </c>
      <c r="F10" s="44">
        <v>8</v>
      </c>
      <c r="G10" s="45">
        <f>$X$10</f>
        <v>500</v>
      </c>
      <c r="H10" s="15">
        <f t="shared" si="0"/>
        <v>4000</v>
      </c>
      <c r="K10" s="37"/>
      <c r="L10" s="6" t="s">
        <v>69</v>
      </c>
      <c r="M10" s="34">
        <v>120</v>
      </c>
      <c r="N10" s="45">
        <f>$X$10</f>
        <v>500</v>
      </c>
      <c r="O10" s="15">
        <f t="shared" si="4"/>
        <v>60000</v>
      </c>
      <c r="P10" s="6">
        <v>8</v>
      </c>
      <c r="Q10" s="45">
        <f>$X$10</f>
        <v>500</v>
      </c>
      <c r="R10" s="15">
        <f t="shared" si="1"/>
        <v>4000</v>
      </c>
      <c r="S10" s="6"/>
      <c r="T10" s="45">
        <f>$X$10</f>
        <v>500</v>
      </c>
      <c r="U10" s="15">
        <f t="shared" si="2"/>
        <v>0</v>
      </c>
      <c r="X10" s="45">
        <f t="shared" si="5"/>
        <v>500</v>
      </c>
      <c r="Y10">
        <f t="shared" si="6"/>
        <v>500</v>
      </c>
      <c r="Z10" s="45">
        <v>1000</v>
      </c>
    </row>
    <row r="11" spans="1:26" ht="15.75" x14ac:dyDescent="0.25">
      <c r="A11" s="37"/>
      <c r="B11" s="5" t="s">
        <v>60</v>
      </c>
      <c r="C11" s="34"/>
      <c r="D11" s="45">
        <f>$X$11</f>
        <v>500</v>
      </c>
      <c r="E11" s="45">
        <f t="shared" si="3"/>
        <v>0</v>
      </c>
      <c r="F11" s="44"/>
      <c r="G11" s="45">
        <f>$X$11</f>
        <v>500</v>
      </c>
      <c r="H11" s="15">
        <f t="shared" si="0"/>
        <v>0</v>
      </c>
      <c r="K11" s="37"/>
      <c r="L11" s="5" t="s">
        <v>60</v>
      </c>
      <c r="M11" s="34"/>
      <c r="N11" s="45">
        <f>$X$11</f>
        <v>500</v>
      </c>
      <c r="O11" s="15">
        <f t="shared" si="4"/>
        <v>0</v>
      </c>
      <c r="P11" s="6"/>
      <c r="Q11" s="45">
        <f>$X$11</f>
        <v>500</v>
      </c>
      <c r="R11" s="15">
        <f t="shared" si="1"/>
        <v>0</v>
      </c>
      <c r="S11" s="6"/>
      <c r="T11" s="45">
        <f>$X$11</f>
        <v>500</v>
      </c>
      <c r="U11" s="15">
        <f t="shared" si="2"/>
        <v>0</v>
      </c>
      <c r="X11" s="45">
        <f t="shared" si="5"/>
        <v>500</v>
      </c>
      <c r="Y11">
        <f t="shared" si="6"/>
        <v>500</v>
      </c>
      <c r="Z11" s="45">
        <v>1000</v>
      </c>
    </row>
    <row r="12" spans="1:26" ht="15.75" x14ac:dyDescent="0.25">
      <c r="A12" s="37"/>
      <c r="B12" s="5" t="s">
        <v>70</v>
      </c>
      <c r="C12" s="34"/>
      <c r="D12" s="45">
        <f>$X$12</f>
        <v>500</v>
      </c>
      <c r="E12" s="45">
        <f t="shared" si="3"/>
        <v>0</v>
      </c>
      <c r="F12" s="44"/>
      <c r="G12" s="45">
        <f>$X$12</f>
        <v>500</v>
      </c>
      <c r="H12" s="15">
        <f t="shared" si="0"/>
        <v>0</v>
      </c>
      <c r="K12" s="37"/>
      <c r="L12" s="5" t="s">
        <v>70</v>
      </c>
      <c r="M12" s="61"/>
      <c r="N12" s="45">
        <f>$X$12</f>
        <v>500</v>
      </c>
      <c r="O12" s="15">
        <f t="shared" si="4"/>
        <v>0</v>
      </c>
      <c r="P12" s="6"/>
      <c r="Q12" s="45">
        <f>$X$12</f>
        <v>500</v>
      </c>
      <c r="R12" s="15">
        <f t="shared" si="1"/>
        <v>0</v>
      </c>
      <c r="S12" s="60"/>
      <c r="T12" s="45">
        <f>$X$12</f>
        <v>500</v>
      </c>
      <c r="U12" s="15">
        <f t="shared" si="2"/>
        <v>0</v>
      </c>
      <c r="X12" s="45">
        <f t="shared" si="5"/>
        <v>500</v>
      </c>
      <c r="Y12">
        <f t="shared" si="6"/>
        <v>500</v>
      </c>
      <c r="Z12" s="45">
        <v>1000</v>
      </c>
    </row>
    <row r="13" spans="1:26" ht="15.75" x14ac:dyDescent="0.25">
      <c r="A13" s="37"/>
      <c r="B13" s="6" t="s">
        <v>78</v>
      </c>
      <c r="C13" s="34">
        <v>48</v>
      </c>
      <c r="D13" s="45">
        <f>$X$13</f>
        <v>1750</v>
      </c>
      <c r="E13" s="45">
        <f t="shared" si="3"/>
        <v>84000</v>
      </c>
      <c r="F13" s="44"/>
      <c r="G13" s="45">
        <f>$X$13</f>
        <v>1750</v>
      </c>
      <c r="H13" s="15">
        <f t="shared" si="0"/>
        <v>0</v>
      </c>
      <c r="I13" t="s">
        <v>80</v>
      </c>
      <c r="K13" s="37"/>
      <c r="L13" s="6" t="s">
        <v>78</v>
      </c>
      <c r="M13" s="34">
        <v>48</v>
      </c>
      <c r="N13" s="45">
        <f>$X$13</f>
        <v>1750</v>
      </c>
      <c r="O13" s="45">
        <f t="shared" si="4"/>
        <v>84000</v>
      </c>
      <c r="P13" s="44"/>
      <c r="Q13" s="45">
        <f>$X$13</f>
        <v>1750</v>
      </c>
      <c r="R13" s="45">
        <f t="shared" si="1"/>
        <v>0</v>
      </c>
      <c r="S13" s="44"/>
      <c r="T13" s="45">
        <f>$X$13</f>
        <v>1750</v>
      </c>
      <c r="U13" s="15">
        <f t="shared" si="2"/>
        <v>0</v>
      </c>
      <c r="X13" s="45">
        <f t="shared" si="5"/>
        <v>1750</v>
      </c>
      <c r="Y13">
        <f t="shared" si="6"/>
        <v>1750</v>
      </c>
      <c r="Z13" s="45">
        <v>3500</v>
      </c>
    </row>
    <row r="14" spans="1:26" ht="15.75" x14ac:dyDescent="0.25">
      <c r="A14" s="37"/>
      <c r="B14" s="6" t="s">
        <v>10</v>
      </c>
      <c r="C14" s="34">
        <v>24</v>
      </c>
      <c r="D14" s="45">
        <f>$X$14</f>
        <v>1250</v>
      </c>
      <c r="E14" s="45">
        <f t="shared" si="3"/>
        <v>30000</v>
      </c>
      <c r="F14" s="44">
        <v>80</v>
      </c>
      <c r="G14" s="45">
        <f>$X$14</f>
        <v>1250</v>
      </c>
      <c r="H14" s="15">
        <f t="shared" si="0"/>
        <v>100000</v>
      </c>
      <c r="K14" s="37"/>
      <c r="L14" s="6" t="s">
        <v>10</v>
      </c>
      <c r="M14" s="61">
        <v>24</v>
      </c>
      <c r="N14" s="45">
        <f>$X$14</f>
        <v>1250</v>
      </c>
      <c r="O14" s="45">
        <f t="shared" si="4"/>
        <v>30000</v>
      </c>
      <c r="P14" s="44">
        <v>80</v>
      </c>
      <c r="Q14" s="45">
        <f>$X$14</f>
        <v>1250</v>
      </c>
      <c r="R14" s="45">
        <f t="shared" si="1"/>
        <v>100000</v>
      </c>
      <c r="S14" s="64">
        <v>8</v>
      </c>
      <c r="T14" s="45">
        <f>$X$14</f>
        <v>1250</v>
      </c>
      <c r="U14" s="15">
        <f t="shared" si="2"/>
        <v>10000</v>
      </c>
      <c r="X14" s="45">
        <f t="shared" si="5"/>
        <v>1250</v>
      </c>
      <c r="Y14">
        <f t="shared" si="6"/>
        <v>1250</v>
      </c>
      <c r="Z14" s="45">
        <v>2500</v>
      </c>
    </row>
    <row r="15" spans="1:26" ht="15.75" x14ac:dyDescent="0.25">
      <c r="A15" s="37"/>
      <c r="B15" s="5" t="s">
        <v>81</v>
      </c>
      <c r="C15" s="34">
        <v>218</v>
      </c>
      <c r="D15" s="45">
        <f>$X$15</f>
        <v>500</v>
      </c>
      <c r="E15" s="45">
        <f t="shared" si="3"/>
        <v>109000</v>
      </c>
      <c r="F15" s="44"/>
      <c r="G15" s="45">
        <f>$X$15</f>
        <v>500</v>
      </c>
      <c r="H15" s="15">
        <f t="shared" si="0"/>
        <v>0</v>
      </c>
      <c r="K15" s="37"/>
      <c r="L15" s="5" t="s">
        <v>81</v>
      </c>
      <c r="M15" s="34">
        <v>218</v>
      </c>
      <c r="N15" s="45">
        <f>$X$15</f>
        <v>500</v>
      </c>
      <c r="O15" s="45">
        <f t="shared" si="4"/>
        <v>109000</v>
      </c>
      <c r="P15" s="44"/>
      <c r="Q15" s="45">
        <f>$X$15</f>
        <v>500</v>
      </c>
      <c r="R15" s="45">
        <f t="shared" si="1"/>
        <v>0</v>
      </c>
      <c r="S15" s="44"/>
      <c r="T15" s="45">
        <f>$X$15</f>
        <v>500</v>
      </c>
      <c r="U15" s="15">
        <f t="shared" si="2"/>
        <v>0</v>
      </c>
      <c r="X15" s="45">
        <f t="shared" si="5"/>
        <v>500</v>
      </c>
      <c r="Y15">
        <f t="shared" si="6"/>
        <v>500</v>
      </c>
      <c r="Z15" s="45">
        <v>1000</v>
      </c>
    </row>
    <row r="16" spans="1:26" ht="18.75" x14ac:dyDescent="0.3">
      <c r="A16" s="36" t="s">
        <v>79</v>
      </c>
      <c r="B16" s="6" t="s">
        <v>11</v>
      </c>
      <c r="C16" s="33"/>
      <c r="D16" s="45">
        <f>$X$16</f>
        <v>1750</v>
      </c>
      <c r="E16" s="45">
        <f t="shared" si="3"/>
        <v>0</v>
      </c>
      <c r="F16" s="44">
        <v>24</v>
      </c>
      <c r="G16" s="45">
        <f>$X$16</f>
        <v>1750</v>
      </c>
      <c r="H16" s="15">
        <f t="shared" si="0"/>
        <v>42000</v>
      </c>
      <c r="K16" s="36" t="s">
        <v>79</v>
      </c>
      <c r="L16" s="6" t="s">
        <v>11</v>
      </c>
      <c r="M16" s="33"/>
      <c r="N16" s="45">
        <f>$X$16</f>
        <v>1750</v>
      </c>
      <c r="O16" s="45">
        <f t="shared" si="4"/>
        <v>0</v>
      </c>
      <c r="P16" s="44">
        <v>24</v>
      </c>
      <c r="Q16" s="45">
        <f>$X$16</f>
        <v>1750</v>
      </c>
      <c r="R16" s="45">
        <f t="shared" si="1"/>
        <v>42000</v>
      </c>
      <c r="S16" s="44"/>
      <c r="T16" s="45">
        <f>$X$16</f>
        <v>1750</v>
      </c>
      <c r="U16" s="15">
        <f t="shared" si="2"/>
        <v>0</v>
      </c>
      <c r="X16" s="45">
        <f t="shared" si="5"/>
        <v>1750</v>
      </c>
      <c r="Y16">
        <f t="shared" si="6"/>
        <v>1750</v>
      </c>
      <c r="Z16" s="45">
        <v>3500</v>
      </c>
    </row>
    <row r="17" spans="1:26" ht="15.75" x14ac:dyDescent="0.25">
      <c r="A17" s="37"/>
      <c r="B17" s="6" t="s">
        <v>8</v>
      </c>
      <c r="C17" s="34"/>
      <c r="D17" s="45">
        <f>$X$17</f>
        <v>2000</v>
      </c>
      <c r="E17" s="45">
        <f t="shared" si="3"/>
        <v>0</v>
      </c>
      <c r="F17" s="44"/>
      <c r="G17" s="45">
        <f>$X$17</f>
        <v>2000</v>
      </c>
      <c r="H17" s="15">
        <f t="shared" si="0"/>
        <v>0</v>
      </c>
      <c r="K17" s="37"/>
      <c r="L17" s="6" t="s">
        <v>8</v>
      </c>
      <c r="M17" s="34"/>
      <c r="N17" s="45">
        <f>$X$17</f>
        <v>2000</v>
      </c>
      <c r="O17" s="45">
        <f t="shared" si="4"/>
        <v>0</v>
      </c>
      <c r="P17" s="44"/>
      <c r="Q17" s="45">
        <f>$X$17</f>
        <v>2000</v>
      </c>
      <c r="R17" s="45">
        <f t="shared" si="1"/>
        <v>0</v>
      </c>
      <c r="S17" s="44"/>
      <c r="T17" s="45">
        <f>$X$17</f>
        <v>2000</v>
      </c>
      <c r="U17" s="15">
        <f t="shared" si="2"/>
        <v>0</v>
      </c>
      <c r="X17" s="45">
        <f t="shared" si="5"/>
        <v>2000</v>
      </c>
      <c r="Y17">
        <f t="shared" si="6"/>
        <v>2000</v>
      </c>
      <c r="Z17" s="45">
        <v>4000</v>
      </c>
    </row>
    <row r="18" spans="1:26" ht="15.75" x14ac:dyDescent="0.25">
      <c r="A18" s="37"/>
      <c r="B18" s="6" t="s">
        <v>6</v>
      </c>
      <c r="C18" s="34">
        <v>80</v>
      </c>
      <c r="D18" s="45">
        <f>$X$18</f>
        <v>2000</v>
      </c>
      <c r="E18" s="45">
        <f t="shared" si="3"/>
        <v>160000</v>
      </c>
      <c r="F18" s="44"/>
      <c r="G18" s="45">
        <f>$X$18</f>
        <v>2000</v>
      </c>
      <c r="H18" s="15">
        <f t="shared" si="0"/>
        <v>0</v>
      </c>
      <c r="K18" s="37"/>
      <c r="L18" s="6" t="s">
        <v>6</v>
      </c>
      <c r="M18" s="34">
        <v>80</v>
      </c>
      <c r="N18" s="45">
        <f>$X$18</f>
        <v>2000</v>
      </c>
      <c r="O18" s="45">
        <f t="shared" si="4"/>
        <v>160000</v>
      </c>
      <c r="P18" s="44"/>
      <c r="Q18" s="45">
        <f>$X$18</f>
        <v>2000</v>
      </c>
      <c r="R18" s="45">
        <f t="shared" si="1"/>
        <v>0</v>
      </c>
      <c r="S18" s="44"/>
      <c r="T18" s="45">
        <f>$X$18</f>
        <v>2000</v>
      </c>
      <c r="U18" s="15">
        <f t="shared" si="2"/>
        <v>0</v>
      </c>
      <c r="X18" s="45">
        <f t="shared" si="5"/>
        <v>2000</v>
      </c>
      <c r="Y18">
        <f t="shared" si="6"/>
        <v>2000</v>
      </c>
      <c r="Z18" s="45">
        <v>4000</v>
      </c>
    </row>
    <row r="19" spans="1:26" ht="15.75" x14ac:dyDescent="0.25">
      <c r="A19" s="37"/>
      <c r="B19" s="6" t="s">
        <v>71</v>
      </c>
      <c r="C19" s="34">
        <v>152</v>
      </c>
      <c r="D19" s="45">
        <f>$X$19</f>
        <v>500</v>
      </c>
      <c r="E19" s="45">
        <f t="shared" si="3"/>
        <v>76000</v>
      </c>
      <c r="F19" s="44"/>
      <c r="G19" s="45">
        <f>$X$19</f>
        <v>500</v>
      </c>
      <c r="H19" s="15">
        <f t="shared" si="0"/>
        <v>0</v>
      </c>
      <c r="K19" s="37"/>
      <c r="L19" s="6" t="s">
        <v>71</v>
      </c>
      <c r="M19" s="34">
        <v>152</v>
      </c>
      <c r="N19" s="45">
        <f>$X$19</f>
        <v>500</v>
      </c>
      <c r="O19" s="45">
        <f t="shared" si="4"/>
        <v>76000</v>
      </c>
      <c r="P19" s="44"/>
      <c r="Q19" s="45">
        <f>$X$19</f>
        <v>500</v>
      </c>
      <c r="R19" s="45">
        <f t="shared" si="1"/>
        <v>0</v>
      </c>
      <c r="S19" s="44"/>
      <c r="T19" s="45">
        <f>$X$19</f>
        <v>500</v>
      </c>
      <c r="U19" s="15">
        <f t="shared" si="2"/>
        <v>0</v>
      </c>
      <c r="X19" s="45">
        <f t="shared" si="5"/>
        <v>500</v>
      </c>
      <c r="Y19">
        <f t="shared" si="6"/>
        <v>500</v>
      </c>
      <c r="Z19" s="45">
        <v>1000</v>
      </c>
    </row>
    <row r="20" spans="1:26" ht="15.75" x14ac:dyDescent="0.25">
      <c r="A20" s="37"/>
      <c r="B20" s="6" t="s">
        <v>72</v>
      </c>
      <c r="C20" s="34">
        <v>124</v>
      </c>
      <c r="D20" s="45">
        <f>$X$20</f>
        <v>1250</v>
      </c>
      <c r="E20" s="45">
        <f t="shared" si="3"/>
        <v>155000</v>
      </c>
      <c r="F20" s="44"/>
      <c r="G20" s="45">
        <f>$X$20</f>
        <v>1250</v>
      </c>
      <c r="H20" s="15">
        <f t="shared" si="0"/>
        <v>0</v>
      </c>
      <c r="K20" s="37"/>
      <c r="L20" s="6" t="s">
        <v>72</v>
      </c>
      <c r="M20" s="34">
        <f>124-S20</f>
        <v>97</v>
      </c>
      <c r="N20" s="45">
        <f>$X$20</f>
        <v>1250</v>
      </c>
      <c r="O20" s="45">
        <f t="shared" si="4"/>
        <v>121250</v>
      </c>
      <c r="P20" s="44"/>
      <c r="Q20" s="45">
        <f>$X$20</f>
        <v>1250</v>
      </c>
      <c r="R20" s="45">
        <f t="shared" si="1"/>
        <v>0</v>
      </c>
      <c r="S20" s="64">
        <v>27</v>
      </c>
      <c r="T20" s="45">
        <f>$X$20</f>
        <v>1250</v>
      </c>
      <c r="U20" s="15">
        <f t="shared" si="2"/>
        <v>33750</v>
      </c>
      <c r="X20" s="45">
        <f t="shared" si="5"/>
        <v>1250</v>
      </c>
      <c r="Y20">
        <f t="shared" si="6"/>
        <v>1250</v>
      </c>
      <c r="Z20" s="45">
        <v>2500</v>
      </c>
    </row>
    <row r="21" spans="1:26" ht="18.75" x14ac:dyDescent="0.3">
      <c r="A21" s="36" t="s">
        <v>75</v>
      </c>
      <c r="B21" s="5" t="s">
        <v>73</v>
      </c>
      <c r="C21" s="34">
        <v>8</v>
      </c>
      <c r="D21" s="45">
        <f>$X$21</f>
        <v>1750</v>
      </c>
      <c r="E21" s="45">
        <f t="shared" si="3"/>
        <v>14000</v>
      </c>
      <c r="F21" s="44">
        <v>56</v>
      </c>
      <c r="G21" s="45">
        <f>$X$21</f>
        <v>1750</v>
      </c>
      <c r="H21" s="15">
        <f t="shared" si="0"/>
        <v>98000</v>
      </c>
      <c r="I21" t="s">
        <v>80</v>
      </c>
      <c r="K21" s="36" t="s">
        <v>75</v>
      </c>
      <c r="L21" s="5" t="s">
        <v>73</v>
      </c>
      <c r="M21" s="34">
        <v>8</v>
      </c>
      <c r="N21" s="45">
        <f>$X$21</f>
        <v>1750</v>
      </c>
      <c r="O21" s="45">
        <f t="shared" si="4"/>
        <v>14000</v>
      </c>
      <c r="P21" s="44">
        <v>56</v>
      </c>
      <c r="Q21" s="45">
        <f>$X$21</f>
        <v>1750</v>
      </c>
      <c r="R21" s="45">
        <f t="shared" si="1"/>
        <v>98000</v>
      </c>
      <c r="S21" s="44"/>
      <c r="T21" s="45">
        <f>$X$21</f>
        <v>1750</v>
      </c>
      <c r="U21" s="15">
        <f t="shared" si="2"/>
        <v>0</v>
      </c>
      <c r="X21" s="45">
        <f t="shared" si="5"/>
        <v>1750</v>
      </c>
      <c r="Y21">
        <f t="shared" si="6"/>
        <v>1750</v>
      </c>
      <c r="Z21" s="45">
        <v>3500</v>
      </c>
    </row>
    <row r="22" spans="1:26" ht="15.75" x14ac:dyDescent="0.25">
      <c r="A22" s="37"/>
      <c r="B22" s="5" t="s">
        <v>82</v>
      </c>
      <c r="C22" s="34">
        <v>38.5</v>
      </c>
      <c r="D22" s="45">
        <f>$X$21</f>
        <v>1750</v>
      </c>
      <c r="E22" s="45">
        <f t="shared" si="3"/>
        <v>67375</v>
      </c>
      <c r="F22" s="44"/>
      <c r="G22" s="45">
        <f>$X$21</f>
        <v>1750</v>
      </c>
      <c r="H22" s="15">
        <f t="shared" si="0"/>
        <v>0</v>
      </c>
      <c r="K22" s="37"/>
      <c r="L22" s="5" t="s">
        <v>82</v>
      </c>
      <c r="M22" s="34">
        <v>38.5</v>
      </c>
      <c r="N22" s="45">
        <f>$X$21</f>
        <v>1750</v>
      </c>
      <c r="O22" s="15">
        <f t="shared" si="4"/>
        <v>67375</v>
      </c>
      <c r="P22" s="6"/>
      <c r="Q22" s="45">
        <f>$X$21</f>
        <v>1750</v>
      </c>
      <c r="R22" s="15">
        <f t="shared" si="1"/>
        <v>0</v>
      </c>
      <c r="S22" s="6"/>
      <c r="T22" s="45">
        <f>$X$21</f>
        <v>1750</v>
      </c>
      <c r="U22" s="15">
        <f t="shared" si="2"/>
        <v>0</v>
      </c>
      <c r="X22" s="45">
        <f t="shared" si="5"/>
        <v>1000</v>
      </c>
      <c r="Y22">
        <f t="shared" si="6"/>
        <v>1000</v>
      </c>
      <c r="Z22" s="45">
        <v>2000</v>
      </c>
    </row>
    <row r="23" spans="1:26" ht="15.75" x14ac:dyDescent="0.25">
      <c r="A23" s="21"/>
      <c r="B23" s="5" t="s">
        <v>74</v>
      </c>
      <c r="C23" s="34"/>
      <c r="D23" s="45">
        <f>$X$23</f>
        <v>1750</v>
      </c>
      <c r="E23" s="45">
        <f t="shared" si="3"/>
        <v>0</v>
      </c>
      <c r="F23" s="44"/>
      <c r="G23" s="45">
        <f>$X$23</f>
        <v>1750</v>
      </c>
      <c r="H23" s="15">
        <f t="shared" si="0"/>
        <v>0</v>
      </c>
      <c r="K23" s="21"/>
      <c r="L23" s="5" t="s">
        <v>74</v>
      </c>
      <c r="M23" s="34"/>
      <c r="N23" s="45">
        <f>$X$23</f>
        <v>1750</v>
      </c>
      <c r="O23" s="15">
        <f t="shared" si="4"/>
        <v>0</v>
      </c>
      <c r="P23" s="6"/>
      <c r="Q23" s="45">
        <f>$X$23</f>
        <v>1750</v>
      </c>
      <c r="R23" s="15">
        <f t="shared" si="1"/>
        <v>0</v>
      </c>
      <c r="S23" s="6"/>
      <c r="T23" s="45">
        <f>$X$23</f>
        <v>1750</v>
      </c>
      <c r="U23" s="15">
        <f t="shared" si="2"/>
        <v>0</v>
      </c>
      <c r="X23" s="45">
        <f t="shared" si="5"/>
        <v>1750</v>
      </c>
      <c r="Y23">
        <f t="shared" si="6"/>
        <v>1750</v>
      </c>
      <c r="Z23" s="45">
        <v>3500</v>
      </c>
    </row>
    <row r="24" spans="1:26" ht="15.75" x14ac:dyDescent="0.25">
      <c r="A24" s="21"/>
      <c r="B24" s="5" t="s">
        <v>108</v>
      </c>
      <c r="C24" s="34"/>
      <c r="D24" s="45">
        <f>$X$24</f>
        <v>2500</v>
      </c>
      <c r="E24" s="45">
        <f t="shared" ref="E24" si="7">C24*D24</f>
        <v>0</v>
      </c>
      <c r="F24" s="44"/>
      <c r="G24" s="45">
        <f>$X$24</f>
        <v>2500</v>
      </c>
      <c r="H24" s="15">
        <f t="shared" ref="H24" si="8">F24*G24</f>
        <v>0</v>
      </c>
      <c r="K24" s="21"/>
      <c r="L24" s="5" t="s">
        <v>108</v>
      </c>
      <c r="M24" s="61">
        <v>53</v>
      </c>
      <c r="N24" s="45">
        <f>$X$24</f>
        <v>2500</v>
      </c>
      <c r="O24" s="15">
        <f t="shared" ref="O24" si="9">M24*N24</f>
        <v>132500</v>
      </c>
      <c r="P24" s="60">
        <v>26</v>
      </c>
      <c r="Q24" s="45">
        <f>$X$24</f>
        <v>2500</v>
      </c>
      <c r="R24" s="15">
        <f t="shared" ref="R24" si="10">P24*Q24</f>
        <v>65000</v>
      </c>
      <c r="S24" s="60">
        <v>28</v>
      </c>
      <c r="T24" s="45">
        <f>$X$24</f>
        <v>2500</v>
      </c>
      <c r="U24" s="15">
        <f t="shared" si="2"/>
        <v>70000</v>
      </c>
      <c r="X24" s="45">
        <f t="shared" si="5"/>
        <v>2500</v>
      </c>
      <c r="Y24">
        <f t="shared" si="6"/>
        <v>2500</v>
      </c>
      <c r="Z24" s="45">
        <v>5000</v>
      </c>
    </row>
    <row r="25" spans="1:26" ht="15.75" x14ac:dyDescent="0.25">
      <c r="A25" s="21"/>
      <c r="B25" s="5" t="s">
        <v>55</v>
      </c>
      <c r="C25" s="34"/>
      <c r="D25" s="15"/>
      <c r="E25" s="15">
        <f t="shared" si="3"/>
        <v>0</v>
      </c>
      <c r="F25" s="6"/>
      <c r="G25" s="15"/>
      <c r="H25" s="15">
        <f t="shared" si="0"/>
        <v>0</v>
      </c>
      <c r="K25" s="21"/>
      <c r="L25" s="5" t="s">
        <v>55</v>
      </c>
      <c r="M25" s="34"/>
      <c r="N25" s="15"/>
      <c r="O25" s="15">
        <f t="shared" si="4"/>
        <v>0</v>
      </c>
      <c r="P25" s="6"/>
      <c r="Q25" s="15"/>
      <c r="R25" s="15">
        <f t="shared" si="1"/>
        <v>0</v>
      </c>
      <c r="S25" s="6"/>
      <c r="T25" s="15"/>
      <c r="U25" s="15">
        <f t="shared" si="2"/>
        <v>0</v>
      </c>
    </row>
    <row r="26" spans="1:26" ht="15.75" x14ac:dyDescent="0.25">
      <c r="A26" s="21"/>
      <c r="B26" s="5" t="s">
        <v>56</v>
      </c>
      <c r="C26" s="34"/>
      <c r="D26" s="15"/>
      <c r="E26" s="15">
        <f t="shared" si="3"/>
        <v>0</v>
      </c>
      <c r="F26" s="6"/>
      <c r="G26" s="15"/>
      <c r="H26" s="15">
        <f t="shared" si="0"/>
        <v>0</v>
      </c>
      <c r="K26" s="21"/>
      <c r="L26" s="5" t="s">
        <v>56</v>
      </c>
      <c r="M26" s="34"/>
      <c r="N26" s="15"/>
      <c r="O26" s="15">
        <f t="shared" si="4"/>
        <v>0</v>
      </c>
      <c r="P26" s="6"/>
      <c r="Q26" s="15"/>
      <c r="R26" s="15">
        <f t="shared" si="1"/>
        <v>0</v>
      </c>
      <c r="S26" s="6"/>
      <c r="T26" s="15"/>
      <c r="U26" s="15">
        <f t="shared" si="2"/>
        <v>0</v>
      </c>
    </row>
    <row r="27" spans="1:26" ht="15.75" x14ac:dyDescent="0.25">
      <c r="A27" s="21"/>
      <c r="B27" s="5" t="s">
        <v>57</v>
      </c>
      <c r="C27" s="34"/>
      <c r="D27" s="15"/>
      <c r="E27" s="15">
        <f t="shared" si="3"/>
        <v>0</v>
      </c>
      <c r="F27" s="6"/>
      <c r="G27" s="15"/>
      <c r="H27" s="15">
        <f t="shared" si="0"/>
        <v>0</v>
      </c>
      <c r="K27" s="21"/>
      <c r="L27" s="5" t="s">
        <v>57</v>
      </c>
      <c r="M27" s="34"/>
      <c r="N27" s="15"/>
      <c r="O27" s="15">
        <f t="shared" si="4"/>
        <v>0</v>
      </c>
      <c r="P27" s="6"/>
      <c r="Q27" s="15"/>
      <c r="R27" s="15">
        <f t="shared" si="1"/>
        <v>0</v>
      </c>
      <c r="S27" s="6"/>
      <c r="T27" s="15"/>
      <c r="U27" s="15">
        <f t="shared" si="2"/>
        <v>0</v>
      </c>
    </row>
    <row r="28" spans="1:26" ht="15.75" x14ac:dyDescent="0.25">
      <c r="A28" s="21"/>
      <c r="B28" s="12" t="s">
        <v>36</v>
      </c>
      <c r="C28" s="13">
        <f>SUM(C5:C27)</f>
        <v>1092.5</v>
      </c>
      <c r="D28" s="16"/>
      <c r="E28" s="16">
        <f>SUM(E5:E27)</f>
        <v>1020375</v>
      </c>
      <c r="F28" s="13">
        <f>SUM(F5:F27)</f>
        <v>352</v>
      </c>
      <c r="G28" s="16"/>
      <c r="H28" s="16">
        <f>SUM(H5:H27)</f>
        <v>566000</v>
      </c>
      <c r="K28" s="21"/>
      <c r="L28" s="12" t="s">
        <v>23</v>
      </c>
      <c r="M28" s="13">
        <f>SUM(M5:M27)</f>
        <v>1090.5</v>
      </c>
      <c r="N28" s="16"/>
      <c r="O28" s="68">
        <f>SUM(O5:O27)</f>
        <v>1070125</v>
      </c>
      <c r="P28" s="13">
        <f>SUM(P5:P27)</f>
        <v>240</v>
      </c>
      <c r="Q28" s="16"/>
      <c r="R28" s="68">
        <f>SUM(R5:R27)</f>
        <v>389500</v>
      </c>
      <c r="S28" s="16">
        <f>SUM(S5:S27)</f>
        <v>131</v>
      </c>
      <c r="T28" s="16"/>
      <c r="U28" s="68">
        <f>SUM(U5:U27)</f>
        <v>232750</v>
      </c>
    </row>
    <row r="29" spans="1:26" ht="15.75" x14ac:dyDescent="0.25">
      <c r="A29" s="21"/>
      <c r="B29" s="12"/>
      <c r="C29" s="13"/>
      <c r="D29" s="13"/>
      <c r="E29" s="16"/>
      <c r="F29" s="13"/>
      <c r="G29" s="13"/>
      <c r="H29" s="16"/>
      <c r="K29" s="21"/>
      <c r="L29" s="12" t="s">
        <v>84</v>
      </c>
      <c r="M29" s="13">
        <f>C28</f>
        <v>1092.5</v>
      </c>
      <c r="N29" s="13"/>
      <c r="O29" s="16">
        <f>E28</f>
        <v>1020375</v>
      </c>
      <c r="P29" s="13">
        <f>F28</f>
        <v>352</v>
      </c>
      <c r="Q29" s="16"/>
      <c r="R29" s="16">
        <f>H28</f>
        <v>566000</v>
      </c>
      <c r="S29" s="16"/>
      <c r="T29" s="16"/>
      <c r="U29" s="16"/>
    </row>
    <row r="30" spans="1:26" ht="15.75" x14ac:dyDescent="0.25">
      <c r="A30" s="21"/>
      <c r="B30" s="12" t="s">
        <v>23</v>
      </c>
      <c r="C30" s="13"/>
      <c r="D30" s="12"/>
      <c r="E30" s="16"/>
      <c r="F30" s="12"/>
      <c r="G30" s="12"/>
      <c r="H30" s="16"/>
      <c r="K30" s="21"/>
      <c r="L30" s="12" t="s">
        <v>85</v>
      </c>
      <c r="M30" s="13">
        <f>M28-M29</f>
        <v>-2</v>
      </c>
      <c r="N30" s="12"/>
      <c r="O30" s="16">
        <f>O28-O29</f>
        <v>49750</v>
      </c>
      <c r="P30" s="13">
        <f>P28-P29</f>
        <v>-112</v>
      </c>
      <c r="Q30" s="16"/>
      <c r="R30" s="16">
        <f>R28-R29</f>
        <v>-176500</v>
      </c>
      <c r="S30" s="16">
        <f>S28-S29</f>
        <v>131</v>
      </c>
      <c r="T30" s="16"/>
      <c r="U30" s="16">
        <f>U28-U29</f>
        <v>232750</v>
      </c>
    </row>
    <row r="34" spans="1:21" ht="15.75" x14ac:dyDescent="0.25">
      <c r="B34" s="1"/>
      <c r="C34" s="14" t="s">
        <v>77</v>
      </c>
      <c r="D34" s="1"/>
      <c r="E34" s="14" t="s">
        <v>25</v>
      </c>
      <c r="F34" s="14" t="s">
        <v>62</v>
      </c>
      <c r="G34" s="1"/>
      <c r="H34" s="1"/>
    </row>
    <row r="35" spans="1:21" ht="15.75" x14ac:dyDescent="0.25">
      <c r="A35" s="21"/>
      <c r="B35" s="9" t="s">
        <v>22</v>
      </c>
      <c r="C35" s="10" t="s">
        <v>17</v>
      </c>
      <c r="D35" s="2" t="s">
        <v>50</v>
      </c>
      <c r="E35" s="3"/>
      <c r="F35" s="10" t="s">
        <v>21</v>
      </c>
      <c r="G35" s="2"/>
      <c r="H35" s="3"/>
      <c r="K35" s="21"/>
      <c r="L35" s="12" t="s">
        <v>109</v>
      </c>
      <c r="M35" s="13"/>
      <c r="N35" s="16"/>
      <c r="O35" s="68">
        <f>'01.26 (изм)'!N28+'02.26 (изм)'!M28+'03.26 (изм)'!O28</f>
        <v>3609087.5</v>
      </c>
      <c r="P35" s="13">
        <f>SUM(P12:P34)</f>
        <v>666</v>
      </c>
      <c r="Q35" s="16"/>
      <c r="R35" s="68">
        <f>'01.26 (изм)'!Q28+'02.26 (изм)'!P28+'03.26 (изм)'!R28</f>
        <v>545000</v>
      </c>
      <c r="S35" s="16">
        <f>SUM(S12:S34)</f>
        <v>325</v>
      </c>
      <c r="T35" s="16"/>
      <c r="U35" s="68">
        <f>'01.26 (изм)'!T28+'02.26 (изм)'!S28+'03.26 (изм)'!U28</f>
        <v>629750</v>
      </c>
    </row>
    <row r="36" spans="1:21" ht="15.75" x14ac:dyDescent="0.25">
      <c r="A36" s="21"/>
      <c r="B36" s="8"/>
      <c r="C36" s="4" t="s">
        <v>18</v>
      </c>
      <c r="D36" s="8" t="s">
        <v>19</v>
      </c>
      <c r="E36" s="11" t="s">
        <v>20</v>
      </c>
      <c r="F36" s="8" t="s">
        <v>18</v>
      </c>
      <c r="G36" s="8" t="s">
        <v>19</v>
      </c>
      <c r="H36" s="11" t="s">
        <v>20</v>
      </c>
      <c r="O36" s="63"/>
    </row>
    <row r="37" spans="1:21" ht="18.75" x14ac:dyDescent="0.3">
      <c r="A37" s="36">
        <v>271</v>
      </c>
      <c r="B37" s="5" t="s">
        <v>68</v>
      </c>
      <c r="C37" s="33"/>
      <c r="D37" s="15">
        <v>3500</v>
      </c>
      <c r="E37" s="15">
        <f>C37*D37</f>
        <v>0</v>
      </c>
      <c r="F37" s="1"/>
      <c r="G37" s="15">
        <v>3500</v>
      </c>
      <c r="H37" s="15">
        <f t="shared" ref="H37:H58" si="11">F37*G37</f>
        <v>0</v>
      </c>
    </row>
    <row r="38" spans="1:21" ht="15.75" x14ac:dyDescent="0.25">
      <c r="A38" s="37"/>
      <c r="B38" s="6" t="s">
        <v>7</v>
      </c>
      <c r="C38" s="34"/>
      <c r="D38" s="15">
        <v>1000</v>
      </c>
      <c r="E38" s="15">
        <f t="shared" ref="E38:E58" si="12">C38*D38</f>
        <v>0</v>
      </c>
      <c r="F38" s="6"/>
      <c r="G38" s="15">
        <v>1000</v>
      </c>
      <c r="H38" s="15">
        <f t="shared" si="11"/>
        <v>0</v>
      </c>
    </row>
    <row r="39" spans="1:21" ht="15.75" x14ac:dyDescent="0.25">
      <c r="A39" s="37"/>
      <c r="B39" s="6" t="s">
        <v>9</v>
      </c>
      <c r="C39" s="34">
        <v>136</v>
      </c>
      <c r="D39" s="15">
        <v>3500</v>
      </c>
      <c r="E39" s="15">
        <f t="shared" si="12"/>
        <v>476000</v>
      </c>
      <c r="F39" s="6"/>
      <c r="G39" s="15">
        <v>3500</v>
      </c>
      <c r="H39" s="15">
        <f t="shared" si="11"/>
        <v>0</v>
      </c>
    </row>
    <row r="40" spans="1:21" ht="18.75" x14ac:dyDescent="0.3">
      <c r="A40" s="36" t="s">
        <v>75</v>
      </c>
      <c r="B40" s="6" t="s">
        <v>5</v>
      </c>
      <c r="C40" s="34">
        <v>64</v>
      </c>
      <c r="D40" s="15">
        <v>3500</v>
      </c>
      <c r="E40" s="15">
        <f t="shared" si="12"/>
        <v>224000</v>
      </c>
      <c r="F40" s="6"/>
      <c r="G40" s="15">
        <v>3500</v>
      </c>
      <c r="H40" s="15">
        <f t="shared" si="11"/>
        <v>0</v>
      </c>
    </row>
    <row r="41" spans="1:21" ht="15.75" x14ac:dyDescent="0.25">
      <c r="A41" s="37"/>
      <c r="B41" s="6" t="s">
        <v>3</v>
      </c>
      <c r="C41" s="34">
        <v>88</v>
      </c>
      <c r="D41" s="15">
        <v>3500</v>
      </c>
      <c r="E41" s="15">
        <f t="shared" si="12"/>
        <v>308000</v>
      </c>
      <c r="F41" s="6"/>
      <c r="G41" s="15">
        <v>3500</v>
      </c>
      <c r="H41" s="15">
        <f t="shared" si="11"/>
        <v>0</v>
      </c>
    </row>
    <row r="42" spans="1:21" ht="15.75" x14ac:dyDescent="0.25">
      <c r="A42" s="37"/>
      <c r="B42" s="6" t="s">
        <v>69</v>
      </c>
      <c r="C42" s="34"/>
      <c r="D42" s="15">
        <v>1000</v>
      </c>
      <c r="E42" s="15">
        <f t="shared" si="12"/>
        <v>0</v>
      </c>
      <c r="F42" s="6"/>
      <c r="G42" s="15">
        <v>1000</v>
      </c>
      <c r="H42" s="15">
        <f t="shared" si="11"/>
        <v>0</v>
      </c>
    </row>
    <row r="43" spans="1:21" ht="15.75" x14ac:dyDescent="0.25">
      <c r="A43" s="37"/>
      <c r="B43" s="5" t="s">
        <v>60</v>
      </c>
      <c r="C43" s="34"/>
      <c r="D43" s="15">
        <v>1000</v>
      </c>
      <c r="E43" s="15">
        <f t="shared" si="12"/>
        <v>0</v>
      </c>
      <c r="F43" s="6"/>
      <c r="G43" s="15">
        <v>1000</v>
      </c>
      <c r="H43" s="15">
        <f t="shared" si="11"/>
        <v>0</v>
      </c>
    </row>
    <row r="44" spans="1:21" ht="15.75" x14ac:dyDescent="0.25">
      <c r="A44" s="37"/>
      <c r="B44" s="5" t="s">
        <v>70</v>
      </c>
      <c r="C44" s="34">
        <v>144</v>
      </c>
      <c r="D44" s="15">
        <v>1000</v>
      </c>
      <c r="E44" s="15">
        <f t="shared" si="12"/>
        <v>144000</v>
      </c>
      <c r="F44" s="6"/>
      <c r="G44" s="15">
        <v>1000</v>
      </c>
      <c r="H44" s="15">
        <f t="shared" si="11"/>
        <v>0</v>
      </c>
    </row>
    <row r="45" spans="1:21" ht="15.75" x14ac:dyDescent="0.25">
      <c r="A45" s="37"/>
      <c r="B45" s="6" t="s">
        <v>78</v>
      </c>
      <c r="C45" s="34">
        <v>40</v>
      </c>
      <c r="D45" s="31">
        <v>3500</v>
      </c>
      <c r="E45" s="15">
        <f t="shared" si="12"/>
        <v>140000</v>
      </c>
      <c r="F45" s="6"/>
      <c r="G45" s="31">
        <v>3500</v>
      </c>
      <c r="H45" s="15">
        <f t="shared" si="11"/>
        <v>0</v>
      </c>
    </row>
    <row r="46" spans="1:21" ht="15.75" x14ac:dyDescent="0.25">
      <c r="A46" s="37"/>
      <c r="B46" s="6" t="s">
        <v>10</v>
      </c>
      <c r="C46" s="34">
        <v>32</v>
      </c>
      <c r="D46" s="15">
        <v>2500</v>
      </c>
      <c r="E46" s="15">
        <f t="shared" si="12"/>
        <v>80000</v>
      </c>
      <c r="F46" s="6"/>
      <c r="G46" s="15">
        <v>2500</v>
      </c>
      <c r="H46" s="15">
        <f t="shared" si="11"/>
        <v>0</v>
      </c>
    </row>
    <row r="47" spans="1:21" ht="15.75" x14ac:dyDescent="0.25">
      <c r="A47" s="37"/>
      <c r="B47" s="5" t="s">
        <v>81</v>
      </c>
      <c r="C47" s="34"/>
      <c r="D47" s="15">
        <v>1000</v>
      </c>
      <c r="E47" s="15">
        <f t="shared" si="12"/>
        <v>0</v>
      </c>
      <c r="F47" s="6"/>
      <c r="G47" s="15">
        <v>1000</v>
      </c>
      <c r="H47" s="15">
        <f t="shared" si="11"/>
        <v>0</v>
      </c>
    </row>
    <row r="48" spans="1:21" ht="18.75" x14ac:dyDescent="0.3">
      <c r="A48" s="36" t="s">
        <v>79</v>
      </c>
      <c r="B48" s="6" t="s">
        <v>11</v>
      </c>
      <c r="C48" s="33"/>
      <c r="D48" s="15">
        <v>3500</v>
      </c>
      <c r="E48" s="15">
        <f t="shared" si="12"/>
        <v>0</v>
      </c>
      <c r="F48" s="6"/>
      <c r="G48" s="15">
        <v>3500</v>
      </c>
      <c r="H48" s="15">
        <f t="shared" si="11"/>
        <v>0</v>
      </c>
    </row>
    <row r="49" spans="1:8" ht="15.75" x14ac:dyDescent="0.25">
      <c r="A49" s="37"/>
      <c r="B49" s="6" t="s">
        <v>8</v>
      </c>
      <c r="C49" s="34"/>
      <c r="D49" s="15">
        <v>4000</v>
      </c>
      <c r="E49" s="15">
        <f t="shared" si="12"/>
        <v>0</v>
      </c>
      <c r="F49" s="6"/>
      <c r="G49" s="15">
        <v>4000</v>
      </c>
      <c r="H49" s="15">
        <f t="shared" si="11"/>
        <v>0</v>
      </c>
    </row>
    <row r="50" spans="1:8" ht="15.75" x14ac:dyDescent="0.25">
      <c r="A50" s="37"/>
      <c r="B50" s="6" t="s">
        <v>6</v>
      </c>
      <c r="C50" s="34"/>
      <c r="D50" s="15">
        <v>4000</v>
      </c>
      <c r="E50" s="15">
        <f t="shared" si="12"/>
        <v>0</v>
      </c>
      <c r="F50" s="6"/>
      <c r="G50" s="15">
        <v>4000</v>
      </c>
      <c r="H50" s="15">
        <f t="shared" si="11"/>
        <v>0</v>
      </c>
    </row>
    <row r="51" spans="1:8" ht="15.75" x14ac:dyDescent="0.25">
      <c r="A51" s="37"/>
      <c r="B51" s="6" t="s">
        <v>71</v>
      </c>
      <c r="C51" s="34"/>
      <c r="D51" s="15">
        <v>1000</v>
      </c>
      <c r="E51" s="15">
        <f t="shared" si="12"/>
        <v>0</v>
      </c>
      <c r="F51" s="6"/>
      <c r="G51" s="15">
        <v>1000</v>
      </c>
      <c r="H51" s="15">
        <f t="shared" si="11"/>
        <v>0</v>
      </c>
    </row>
    <row r="52" spans="1:8" ht="15.75" x14ac:dyDescent="0.25">
      <c r="A52" s="37"/>
      <c r="B52" s="6" t="s">
        <v>72</v>
      </c>
      <c r="C52" s="34"/>
      <c r="D52" s="15">
        <v>2500</v>
      </c>
      <c r="E52" s="15">
        <f t="shared" si="12"/>
        <v>0</v>
      </c>
      <c r="F52" s="6"/>
      <c r="G52" s="15">
        <v>2500</v>
      </c>
      <c r="H52" s="15">
        <f t="shared" si="11"/>
        <v>0</v>
      </c>
    </row>
    <row r="53" spans="1:8" ht="18.75" x14ac:dyDescent="0.3">
      <c r="A53" s="36" t="s">
        <v>75</v>
      </c>
      <c r="B53" s="5" t="s">
        <v>73</v>
      </c>
      <c r="C53" s="34"/>
      <c r="D53" s="31">
        <v>3500</v>
      </c>
      <c r="E53" s="15">
        <f t="shared" si="12"/>
        <v>0</v>
      </c>
      <c r="F53" s="6"/>
      <c r="G53" s="31">
        <v>3500</v>
      </c>
      <c r="H53" s="15">
        <f t="shared" si="11"/>
        <v>0</v>
      </c>
    </row>
    <row r="54" spans="1:8" ht="15.75" x14ac:dyDescent="0.25">
      <c r="A54" s="37"/>
      <c r="B54" s="5" t="s">
        <v>82</v>
      </c>
      <c r="C54" s="34"/>
      <c r="D54" s="15">
        <v>2000</v>
      </c>
      <c r="E54" s="15">
        <f t="shared" si="12"/>
        <v>0</v>
      </c>
      <c r="F54" s="6"/>
      <c r="G54" s="15">
        <v>2000</v>
      </c>
      <c r="H54" s="15">
        <f t="shared" si="11"/>
        <v>0</v>
      </c>
    </row>
    <row r="55" spans="1:8" ht="15.75" x14ac:dyDescent="0.25">
      <c r="A55" s="21"/>
      <c r="B55" s="5" t="s">
        <v>74</v>
      </c>
      <c r="C55" s="34"/>
      <c r="D55" s="15">
        <v>3500</v>
      </c>
      <c r="E55" s="15">
        <f t="shared" si="12"/>
        <v>0</v>
      </c>
      <c r="F55" s="6"/>
      <c r="G55" s="15">
        <v>3500</v>
      </c>
      <c r="H55" s="15">
        <f t="shared" si="11"/>
        <v>0</v>
      </c>
    </row>
    <row r="56" spans="1:8" ht="15.75" x14ac:dyDescent="0.25">
      <c r="A56" s="21"/>
      <c r="B56" s="5" t="s">
        <v>55</v>
      </c>
      <c r="C56" s="34"/>
      <c r="D56" s="15"/>
      <c r="E56" s="15">
        <f t="shared" si="12"/>
        <v>0</v>
      </c>
      <c r="F56" s="6"/>
      <c r="G56" s="15"/>
      <c r="H56" s="15">
        <f t="shared" si="11"/>
        <v>0</v>
      </c>
    </row>
    <row r="57" spans="1:8" ht="15.75" x14ac:dyDescent="0.25">
      <c r="A57" s="21"/>
      <c r="B57" s="5" t="s">
        <v>56</v>
      </c>
      <c r="C57" s="34"/>
      <c r="D57" s="15"/>
      <c r="E57" s="15">
        <f t="shared" si="12"/>
        <v>0</v>
      </c>
      <c r="F57" s="6"/>
      <c r="G57" s="15"/>
      <c r="H57" s="15">
        <f t="shared" si="11"/>
        <v>0</v>
      </c>
    </row>
    <row r="58" spans="1:8" ht="15.75" x14ac:dyDescent="0.25">
      <c r="A58" s="21"/>
      <c r="B58" s="5" t="s">
        <v>57</v>
      </c>
      <c r="C58" s="34"/>
      <c r="D58" s="15"/>
      <c r="E58" s="15">
        <f t="shared" si="12"/>
        <v>0</v>
      </c>
      <c r="F58" s="6"/>
      <c r="G58" s="15"/>
      <c r="H58" s="15">
        <f t="shared" si="11"/>
        <v>0</v>
      </c>
    </row>
    <row r="59" spans="1:8" ht="15.75" x14ac:dyDescent="0.25">
      <c r="A59" s="21"/>
      <c r="B59" s="12" t="s">
        <v>23</v>
      </c>
      <c r="C59" s="13">
        <f>SUM(C37:C58)</f>
        <v>504</v>
      </c>
      <c r="D59" s="16"/>
      <c r="E59" s="16">
        <f>SUM(E37:E58)</f>
        <v>1372000</v>
      </c>
      <c r="F59" s="13">
        <f>SUM(F37:F58)</f>
        <v>0</v>
      </c>
      <c r="G59" s="16"/>
      <c r="H59" s="16">
        <f>SUM(H37:H58)</f>
        <v>0</v>
      </c>
    </row>
    <row r="60" spans="1:8" ht="15.75" x14ac:dyDescent="0.25">
      <c r="A60" s="21"/>
      <c r="B60" s="12"/>
      <c r="C60" s="13"/>
      <c r="D60" s="13"/>
      <c r="E60" s="16"/>
      <c r="F60" s="13"/>
      <c r="G60" s="13"/>
      <c r="H60" s="16"/>
    </row>
    <row r="61" spans="1:8" ht="15.75" x14ac:dyDescent="0.25">
      <c r="A61" s="21"/>
      <c r="B61" s="12"/>
      <c r="C61" s="13"/>
      <c r="D61" s="12"/>
      <c r="E61" s="16"/>
      <c r="F61" s="13"/>
      <c r="G61" s="12"/>
      <c r="H61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60"/>
  <sheetViews>
    <sheetView zoomScale="85" zoomScaleNormal="85" workbookViewId="0">
      <selection activeCell="O8" sqref="O8"/>
    </sheetView>
  </sheetViews>
  <sheetFormatPr defaultRowHeight="15" x14ac:dyDescent="0.25"/>
  <cols>
    <col min="2" max="2" width="39.5703125" customWidth="1"/>
    <col min="5" max="5" width="14.5703125" customWidth="1"/>
    <col min="8" max="8" width="14.42578125" customWidth="1"/>
    <col min="12" max="12" width="31.140625" customWidth="1"/>
    <col min="15" max="15" width="14.42578125" customWidth="1"/>
    <col min="18" max="18" width="13.5703125" customWidth="1"/>
  </cols>
  <sheetData>
    <row r="2" spans="1:18" ht="15.75" x14ac:dyDescent="0.25">
      <c r="B2" s="1"/>
      <c r="C2" s="14" t="s">
        <v>77</v>
      </c>
      <c r="D2" s="1"/>
      <c r="E2" s="14" t="s">
        <v>25</v>
      </c>
      <c r="F2" s="14" t="s">
        <v>63</v>
      </c>
      <c r="G2" s="1"/>
      <c r="H2" s="1"/>
      <c r="L2" s="1"/>
      <c r="M2" s="14" t="s">
        <v>77</v>
      </c>
      <c r="N2" s="1"/>
      <c r="O2" s="14" t="s">
        <v>25</v>
      </c>
      <c r="P2" s="14" t="s">
        <v>83</v>
      </c>
      <c r="Q2" s="1"/>
      <c r="R2" s="1"/>
    </row>
    <row r="3" spans="1:18" ht="15.75" x14ac:dyDescent="0.25">
      <c r="A3" s="21"/>
      <c r="B3" s="9" t="s">
        <v>22</v>
      </c>
      <c r="C3" s="10" t="s">
        <v>17</v>
      </c>
      <c r="D3" s="2" t="s">
        <v>50</v>
      </c>
      <c r="E3" s="3"/>
      <c r="F3" s="10" t="s">
        <v>21</v>
      </c>
      <c r="G3" s="2"/>
      <c r="H3" s="3"/>
      <c r="K3" s="21"/>
      <c r="L3" s="9" t="s">
        <v>22</v>
      </c>
      <c r="M3" s="10" t="s">
        <v>17</v>
      </c>
      <c r="N3" s="2" t="s">
        <v>50</v>
      </c>
      <c r="O3" s="3"/>
      <c r="P3" s="10" t="s">
        <v>21</v>
      </c>
      <c r="Q3" s="2"/>
      <c r="R3" s="3"/>
    </row>
    <row r="4" spans="1:18" ht="15.75" x14ac:dyDescent="0.25">
      <c r="A4" s="21"/>
      <c r="B4" s="8"/>
      <c r="C4" s="4" t="s">
        <v>18</v>
      </c>
      <c r="D4" s="8" t="s">
        <v>19</v>
      </c>
      <c r="E4" s="11" t="s">
        <v>20</v>
      </c>
      <c r="F4" s="8" t="s">
        <v>18</v>
      </c>
      <c r="G4" s="8" t="s">
        <v>19</v>
      </c>
      <c r="H4" s="11" t="s">
        <v>20</v>
      </c>
      <c r="K4" s="21"/>
      <c r="L4" s="8"/>
      <c r="M4" s="4" t="s">
        <v>18</v>
      </c>
      <c r="N4" s="8" t="s">
        <v>19</v>
      </c>
      <c r="O4" s="11" t="s">
        <v>20</v>
      </c>
      <c r="P4" s="8" t="s">
        <v>18</v>
      </c>
      <c r="Q4" s="8" t="s">
        <v>19</v>
      </c>
      <c r="R4" s="11" t="s">
        <v>20</v>
      </c>
    </row>
    <row r="5" spans="1:18" ht="18.75" x14ac:dyDescent="0.3">
      <c r="A5" s="36">
        <v>271</v>
      </c>
      <c r="B5" s="5" t="s">
        <v>68</v>
      </c>
      <c r="C5" s="33"/>
      <c r="D5" s="15">
        <v>3500</v>
      </c>
      <c r="E5" s="15">
        <f>C5*D5</f>
        <v>0</v>
      </c>
      <c r="F5" s="1">
        <v>152</v>
      </c>
      <c r="G5" s="15">
        <v>3500</v>
      </c>
      <c r="H5" s="15">
        <f t="shared" ref="H5:H26" si="0">F5*G5</f>
        <v>532000</v>
      </c>
      <c r="K5" s="36">
        <v>271</v>
      </c>
      <c r="L5" s="5" t="s">
        <v>68</v>
      </c>
      <c r="M5" s="33"/>
      <c r="N5" s="15">
        <v>3500</v>
      </c>
      <c r="O5" s="15">
        <f>M5*N5</f>
        <v>0</v>
      </c>
      <c r="P5" s="1">
        <v>152</v>
      </c>
      <c r="Q5" s="15">
        <v>3500</v>
      </c>
      <c r="R5" s="15">
        <f t="shared" ref="R5:R26" si="1">P5*Q5</f>
        <v>532000</v>
      </c>
    </row>
    <row r="6" spans="1:18" ht="15.75" x14ac:dyDescent="0.25">
      <c r="A6" s="37"/>
      <c r="B6" s="6" t="s">
        <v>7</v>
      </c>
      <c r="C6" s="34">
        <v>180</v>
      </c>
      <c r="D6" s="15">
        <v>1000</v>
      </c>
      <c r="E6" s="15">
        <f t="shared" ref="E6:E26" si="2">C6*D6</f>
        <v>180000</v>
      </c>
      <c r="F6" s="6"/>
      <c r="G6" s="15">
        <v>1000</v>
      </c>
      <c r="H6" s="15">
        <f t="shared" si="0"/>
        <v>0</v>
      </c>
      <c r="K6" s="37"/>
      <c r="L6" s="6" t="s">
        <v>7</v>
      </c>
      <c r="M6" s="34">
        <v>180</v>
      </c>
      <c r="N6" s="15">
        <v>1000</v>
      </c>
      <c r="O6" s="15">
        <f t="shared" ref="O6:O26" si="3">M6*N6</f>
        <v>180000</v>
      </c>
      <c r="P6" s="6"/>
      <c r="Q6" s="15">
        <v>1000</v>
      </c>
      <c r="R6" s="15">
        <f t="shared" si="1"/>
        <v>0</v>
      </c>
    </row>
    <row r="7" spans="1:18" ht="15.75" x14ac:dyDescent="0.25">
      <c r="A7" s="37"/>
      <c r="B7" s="6" t="s">
        <v>9</v>
      </c>
      <c r="C7" s="34">
        <v>8</v>
      </c>
      <c r="D7" s="15">
        <v>3500</v>
      </c>
      <c r="E7" s="15">
        <f t="shared" si="2"/>
        <v>28000</v>
      </c>
      <c r="F7" s="6">
        <v>16</v>
      </c>
      <c r="G7" s="15">
        <v>3500</v>
      </c>
      <c r="H7" s="15">
        <f t="shared" si="0"/>
        <v>56000</v>
      </c>
      <c r="K7" s="37"/>
      <c r="L7" s="6" t="s">
        <v>9</v>
      </c>
      <c r="M7" s="34">
        <v>144</v>
      </c>
      <c r="N7" s="15">
        <v>3500</v>
      </c>
      <c r="O7" s="15">
        <f t="shared" si="3"/>
        <v>504000</v>
      </c>
      <c r="P7" s="6">
        <v>16</v>
      </c>
      <c r="Q7" s="15">
        <v>3500</v>
      </c>
      <c r="R7" s="15">
        <f t="shared" si="1"/>
        <v>56000</v>
      </c>
    </row>
    <row r="8" spans="1:18" ht="18.75" x14ac:dyDescent="0.3">
      <c r="A8" s="36" t="s">
        <v>75</v>
      </c>
      <c r="B8" s="6" t="s">
        <v>5</v>
      </c>
      <c r="C8" s="34">
        <v>57</v>
      </c>
      <c r="D8" s="15">
        <v>3500</v>
      </c>
      <c r="E8" s="15">
        <f t="shared" si="2"/>
        <v>199500</v>
      </c>
      <c r="F8" s="6">
        <v>16</v>
      </c>
      <c r="G8" s="15">
        <v>3500</v>
      </c>
      <c r="H8" s="15">
        <f t="shared" si="0"/>
        <v>56000</v>
      </c>
      <c r="K8" s="36" t="s">
        <v>75</v>
      </c>
      <c r="L8" s="6" t="s">
        <v>5</v>
      </c>
      <c r="M8" s="34">
        <v>121</v>
      </c>
      <c r="N8" s="15">
        <v>3500</v>
      </c>
      <c r="O8" s="15">
        <f t="shared" si="3"/>
        <v>423500</v>
      </c>
      <c r="P8" s="6">
        <v>16</v>
      </c>
      <c r="Q8" s="15">
        <v>3500</v>
      </c>
      <c r="R8" s="15">
        <f t="shared" si="1"/>
        <v>56000</v>
      </c>
    </row>
    <row r="9" spans="1:18" ht="15.75" x14ac:dyDescent="0.25">
      <c r="A9" s="37"/>
      <c r="B9" s="6" t="s">
        <v>3</v>
      </c>
      <c r="C9" s="34">
        <v>35</v>
      </c>
      <c r="D9" s="15">
        <v>3500</v>
      </c>
      <c r="E9" s="15">
        <f t="shared" si="2"/>
        <v>122500</v>
      </c>
      <c r="F9" s="6"/>
      <c r="G9" s="15">
        <v>3500</v>
      </c>
      <c r="H9" s="15">
        <f t="shared" si="0"/>
        <v>0</v>
      </c>
      <c r="K9" s="37"/>
      <c r="L9" s="6" t="s">
        <v>3</v>
      </c>
      <c r="M9" s="34">
        <v>123</v>
      </c>
      <c r="N9" s="15">
        <v>3500</v>
      </c>
      <c r="O9" s="15">
        <f t="shared" si="3"/>
        <v>430500</v>
      </c>
      <c r="P9" s="6"/>
      <c r="Q9" s="15">
        <v>3500</v>
      </c>
      <c r="R9" s="15">
        <f t="shared" si="1"/>
        <v>0</v>
      </c>
    </row>
    <row r="10" spans="1:18" ht="15.75" x14ac:dyDescent="0.25">
      <c r="A10" s="37"/>
      <c r="B10" s="6" t="s">
        <v>69</v>
      </c>
      <c r="C10" s="34">
        <v>120</v>
      </c>
      <c r="D10" s="15">
        <v>1000</v>
      </c>
      <c r="E10" s="15">
        <f t="shared" si="2"/>
        <v>120000</v>
      </c>
      <c r="F10" s="6">
        <v>8</v>
      </c>
      <c r="G10" s="15">
        <v>1000</v>
      </c>
      <c r="H10" s="15">
        <f t="shared" si="0"/>
        <v>8000</v>
      </c>
      <c r="K10" s="37"/>
      <c r="L10" s="6" t="s">
        <v>69</v>
      </c>
      <c r="M10" s="34">
        <v>120</v>
      </c>
      <c r="N10" s="15">
        <v>1000</v>
      </c>
      <c r="O10" s="15">
        <f t="shared" si="3"/>
        <v>120000</v>
      </c>
      <c r="P10" s="6">
        <v>8</v>
      </c>
      <c r="Q10" s="15">
        <v>1000</v>
      </c>
      <c r="R10" s="15">
        <f t="shared" si="1"/>
        <v>8000</v>
      </c>
    </row>
    <row r="11" spans="1:18" ht="15.75" x14ac:dyDescent="0.25">
      <c r="A11" s="37"/>
      <c r="B11" s="5" t="s">
        <v>60</v>
      </c>
      <c r="C11" s="34"/>
      <c r="D11" s="15">
        <v>1000</v>
      </c>
      <c r="E11" s="15">
        <f t="shared" si="2"/>
        <v>0</v>
      </c>
      <c r="F11" s="6"/>
      <c r="G11" s="15">
        <v>1000</v>
      </c>
      <c r="H11" s="15">
        <f t="shared" si="0"/>
        <v>0</v>
      </c>
      <c r="K11" s="37"/>
      <c r="L11" s="5" t="s">
        <v>60</v>
      </c>
      <c r="M11" s="34"/>
      <c r="N11" s="15">
        <v>1000</v>
      </c>
      <c r="O11" s="15">
        <f t="shared" si="3"/>
        <v>0</v>
      </c>
      <c r="P11" s="6"/>
      <c r="Q11" s="15">
        <v>1000</v>
      </c>
      <c r="R11" s="15">
        <f t="shared" si="1"/>
        <v>0</v>
      </c>
    </row>
    <row r="12" spans="1:18" ht="15.75" x14ac:dyDescent="0.25">
      <c r="A12" s="37"/>
      <c r="B12" s="5" t="s">
        <v>70</v>
      </c>
      <c r="C12" s="34"/>
      <c r="D12" s="15">
        <v>1000</v>
      </c>
      <c r="E12" s="15">
        <f t="shared" si="2"/>
        <v>0</v>
      </c>
      <c r="F12" s="6"/>
      <c r="G12" s="15">
        <v>1000</v>
      </c>
      <c r="H12" s="15">
        <f t="shared" si="0"/>
        <v>0</v>
      </c>
      <c r="K12" s="37"/>
      <c r="L12" s="5" t="s">
        <v>70</v>
      </c>
      <c r="M12" s="34">
        <v>144</v>
      </c>
      <c r="N12" s="15">
        <v>1000</v>
      </c>
      <c r="O12" s="15">
        <f t="shared" si="3"/>
        <v>144000</v>
      </c>
      <c r="P12" s="6"/>
      <c r="Q12" s="15">
        <v>1000</v>
      </c>
      <c r="R12" s="15">
        <f t="shared" si="1"/>
        <v>0</v>
      </c>
    </row>
    <row r="13" spans="1:18" ht="15.75" x14ac:dyDescent="0.25">
      <c r="A13" s="37"/>
      <c r="B13" s="6" t="s">
        <v>78</v>
      </c>
      <c r="C13" s="34">
        <v>48</v>
      </c>
      <c r="D13" s="31">
        <v>3500</v>
      </c>
      <c r="E13" s="15">
        <f t="shared" si="2"/>
        <v>168000</v>
      </c>
      <c r="F13" s="6"/>
      <c r="G13" s="31">
        <v>3500</v>
      </c>
      <c r="H13" s="15">
        <f t="shared" si="0"/>
        <v>0</v>
      </c>
      <c r="I13" t="s">
        <v>80</v>
      </c>
      <c r="K13" s="37"/>
      <c r="L13" s="6" t="s">
        <v>78</v>
      </c>
      <c r="M13" s="34">
        <v>88</v>
      </c>
      <c r="N13" s="31">
        <v>3500</v>
      </c>
      <c r="O13" s="15">
        <f t="shared" si="3"/>
        <v>308000</v>
      </c>
      <c r="P13" s="6"/>
      <c r="Q13" s="31">
        <v>3500</v>
      </c>
      <c r="R13" s="15">
        <f t="shared" si="1"/>
        <v>0</v>
      </c>
    </row>
    <row r="14" spans="1:18" ht="15.75" x14ac:dyDescent="0.25">
      <c r="A14" s="37"/>
      <c r="B14" s="6" t="s">
        <v>10</v>
      </c>
      <c r="C14" s="34">
        <v>24</v>
      </c>
      <c r="D14" s="15">
        <v>2500</v>
      </c>
      <c r="E14" s="15">
        <f t="shared" si="2"/>
        <v>60000</v>
      </c>
      <c r="F14" s="6">
        <v>80</v>
      </c>
      <c r="G14" s="15">
        <v>2500</v>
      </c>
      <c r="H14" s="15">
        <f t="shared" si="0"/>
        <v>200000</v>
      </c>
      <c r="K14" s="37"/>
      <c r="L14" s="6" t="s">
        <v>10</v>
      </c>
      <c r="M14" s="34">
        <v>56</v>
      </c>
      <c r="N14" s="15">
        <v>2500</v>
      </c>
      <c r="O14" s="15">
        <f t="shared" si="3"/>
        <v>140000</v>
      </c>
      <c r="P14" s="6">
        <v>80</v>
      </c>
      <c r="Q14" s="15">
        <v>2500</v>
      </c>
      <c r="R14" s="15">
        <f t="shared" si="1"/>
        <v>200000</v>
      </c>
    </row>
    <row r="15" spans="1:18" ht="15.75" x14ac:dyDescent="0.25">
      <c r="A15" s="37"/>
      <c r="B15" s="5" t="s">
        <v>81</v>
      </c>
      <c r="C15" s="34">
        <v>218</v>
      </c>
      <c r="D15" s="15">
        <v>1000</v>
      </c>
      <c r="E15" s="15">
        <f t="shared" si="2"/>
        <v>218000</v>
      </c>
      <c r="F15" s="6"/>
      <c r="G15" s="15">
        <v>1000</v>
      </c>
      <c r="H15" s="15">
        <f t="shared" si="0"/>
        <v>0</v>
      </c>
      <c r="K15" s="37"/>
      <c r="L15" s="5" t="s">
        <v>81</v>
      </c>
      <c r="M15" s="34">
        <v>218</v>
      </c>
      <c r="N15" s="15">
        <v>1000</v>
      </c>
      <c r="O15" s="15">
        <f t="shared" si="3"/>
        <v>218000</v>
      </c>
      <c r="P15" s="6"/>
      <c r="Q15" s="15">
        <v>1000</v>
      </c>
      <c r="R15" s="15">
        <f t="shared" si="1"/>
        <v>0</v>
      </c>
    </row>
    <row r="16" spans="1:18" ht="18.75" x14ac:dyDescent="0.3">
      <c r="A16" s="36" t="s">
        <v>79</v>
      </c>
      <c r="B16" s="6" t="s">
        <v>11</v>
      </c>
      <c r="C16" s="33"/>
      <c r="D16" s="15">
        <v>3500</v>
      </c>
      <c r="E16" s="15">
        <f t="shared" si="2"/>
        <v>0</v>
      </c>
      <c r="F16" s="6">
        <v>24</v>
      </c>
      <c r="G16" s="15">
        <v>3500</v>
      </c>
      <c r="H16" s="15">
        <f t="shared" si="0"/>
        <v>84000</v>
      </c>
      <c r="K16" s="36" t="s">
        <v>79</v>
      </c>
      <c r="L16" s="6" t="s">
        <v>11</v>
      </c>
      <c r="M16" s="33"/>
      <c r="N16" s="15">
        <v>3500</v>
      </c>
      <c r="O16" s="15">
        <f t="shared" si="3"/>
        <v>0</v>
      </c>
      <c r="P16" s="6">
        <v>24</v>
      </c>
      <c r="Q16" s="15">
        <v>3500</v>
      </c>
      <c r="R16" s="15">
        <f t="shared" si="1"/>
        <v>84000</v>
      </c>
    </row>
    <row r="17" spans="1:18" ht="15.75" x14ac:dyDescent="0.25">
      <c r="A17" s="37"/>
      <c r="B17" s="6" t="s">
        <v>8</v>
      </c>
      <c r="C17" s="34"/>
      <c r="D17" s="15">
        <v>4000</v>
      </c>
      <c r="E17" s="15">
        <f t="shared" si="2"/>
        <v>0</v>
      </c>
      <c r="F17" s="6"/>
      <c r="G17" s="15">
        <v>4000</v>
      </c>
      <c r="H17" s="15">
        <f t="shared" si="0"/>
        <v>0</v>
      </c>
      <c r="K17" s="37"/>
      <c r="L17" s="6" t="s">
        <v>8</v>
      </c>
      <c r="M17" s="34"/>
      <c r="N17" s="15">
        <v>4000</v>
      </c>
      <c r="O17" s="15">
        <f t="shared" si="3"/>
        <v>0</v>
      </c>
      <c r="P17" s="6"/>
      <c r="Q17" s="15">
        <v>4000</v>
      </c>
      <c r="R17" s="15">
        <f t="shared" si="1"/>
        <v>0</v>
      </c>
    </row>
    <row r="18" spans="1:18" ht="15.75" x14ac:dyDescent="0.25">
      <c r="A18" s="37"/>
      <c r="B18" s="6" t="s">
        <v>6</v>
      </c>
      <c r="C18" s="34">
        <v>80</v>
      </c>
      <c r="D18" s="15">
        <v>4000</v>
      </c>
      <c r="E18" s="15">
        <f t="shared" si="2"/>
        <v>320000</v>
      </c>
      <c r="F18" s="6"/>
      <c r="G18" s="15">
        <v>4000</v>
      </c>
      <c r="H18" s="15">
        <f t="shared" si="0"/>
        <v>0</v>
      </c>
      <c r="K18" s="37"/>
      <c r="L18" s="6" t="s">
        <v>6</v>
      </c>
      <c r="M18" s="34">
        <v>80</v>
      </c>
      <c r="N18" s="15">
        <v>4000</v>
      </c>
      <c r="O18" s="15">
        <f t="shared" si="3"/>
        <v>320000</v>
      </c>
      <c r="P18" s="6"/>
      <c r="Q18" s="15">
        <v>4000</v>
      </c>
      <c r="R18" s="15">
        <f t="shared" si="1"/>
        <v>0</v>
      </c>
    </row>
    <row r="19" spans="1:18" ht="15.75" x14ac:dyDescent="0.25">
      <c r="A19" s="37"/>
      <c r="B19" s="6" t="s">
        <v>71</v>
      </c>
      <c r="C19" s="34">
        <v>152</v>
      </c>
      <c r="D19" s="15">
        <v>1000</v>
      </c>
      <c r="E19" s="15">
        <f t="shared" si="2"/>
        <v>152000</v>
      </c>
      <c r="F19" s="6"/>
      <c r="G19" s="15">
        <v>1000</v>
      </c>
      <c r="H19" s="15">
        <f t="shared" si="0"/>
        <v>0</v>
      </c>
      <c r="K19" s="37"/>
      <c r="L19" s="6" t="s">
        <v>71</v>
      </c>
      <c r="M19" s="34">
        <v>152</v>
      </c>
      <c r="N19" s="15">
        <v>1000</v>
      </c>
      <c r="O19" s="15">
        <f t="shared" si="3"/>
        <v>152000</v>
      </c>
      <c r="P19" s="6"/>
      <c r="Q19" s="15">
        <v>1000</v>
      </c>
      <c r="R19" s="15">
        <f t="shared" si="1"/>
        <v>0</v>
      </c>
    </row>
    <row r="20" spans="1:18" ht="15.75" x14ac:dyDescent="0.25">
      <c r="A20" s="37"/>
      <c r="B20" s="6" t="s">
        <v>72</v>
      </c>
      <c r="C20" s="34">
        <v>124</v>
      </c>
      <c r="D20" s="15">
        <v>2500</v>
      </c>
      <c r="E20" s="15">
        <f t="shared" si="2"/>
        <v>310000</v>
      </c>
      <c r="F20" s="6"/>
      <c r="G20" s="15">
        <v>2500</v>
      </c>
      <c r="H20" s="15">
        <f t="shared" si="0"/>
        <v>0</v>
      </c>
      <c r="K20" s="37"/>
      <c r="L20" s="6" t="s">
        <v>72</v>
      </c>
      <c r="M20" s="34">
        <v>124</v>
      </c>
      <c r="N20" s="15">
        <v>2500</v>
      </c>
      <c r="O20" s="15">
        <f t="shared" si="3"/>
        <v>310000</v>
      </c>
      <c r="P20" s="6"/>
      <c r="Q20" s="15">
        <v>2500</v>
      </c>
      <c r="R20" s="15">
        <f t="shared" si="1"/>
        <v>0</v>
      </c>
    </row>
    <row r="21" spans="1:18" ht="18.75" x14ac:dyDescent="0.3">
      <c r="A21" s="36" t="s">
        <v>75</v>
      </c>
      <c r="B21" s="5" t="s">
        <v>73</v>
      </c>
      <c r="C21" s="34">
        <v>8</v>
      </c>
      <c r="D21" s="15">
        <v>3500</v>
      </c>
      <c r="E21" s="15">
        <f t="shared" si="2"/>
        <v>28000</v>
      </c>
      <c r="F21" s="6">
        <v>56</v>
      </c>
      <c r="G21" s="15">
        <v>3500</v>
      </c>
      <c r="H21" s="15">
        <f t="shared" si="0"/>
        <v>196000</v>
      </c>
      <c r="I21" t="s">
        <v>80</v>
      </c>
      <c r="K21" s="36" t="s">
        <v>75</v>
      </c>
      <c r="L21" s="5" t="s">
        <v>73</v>
      </c>
      <c r="M21" s="34">
        <v>8</v>
      </c>
      <c r="N21" s="31">
        <v>3500</v>
      </c>
      <c r="O21" s="15">
        <f t="shared" si="3"/>
        <v>28000</v>
      </c>
      <c r="P21" s="6">
        <v>56</v>
      </c>
      <c r="Q21" s="31">
        <v>3500</v>
      </c>
      <c r="R21" s="15">
        <f t="shared" si="1"/>
        <v>196000</v>
      </c>
    </row>
    <row r="22" spans="1:18" ht="15.75" x14ac:dyDescent="0.25">
      <c r="A22" s="37"/>
      <c r="B22" s="5" t="s">
        <v>82</v>
      </c>
      <c r="C22" s="34">
        <v>38.5</v>
      </c>
      <c r="D22" s="15">
        <v>2000</v>
      </c>
      <c r="E22" s="15">
        <f t="shared" si="2"/>
        <v>77000</v>
      </c>
      <c r="F22" s="6"/>
      <c r="G22" s="15">
        <v>2000</v>
      </c>
      <c r="H22" s="15">
        <f t="shared" si="0"/>
        <v>0</v>
      </c>
      <c r="K22" s="37"/>
      <c r="L22" s="5" t="s">
        <v>82</v>
      </c>
      <c r="M22" s="34">
        <v>38.5</v>
      </c>
      <c r="N22" s="15">
        <v>2000</v>
      </c>
      <c r="O22" s="15">
        <f t="shared" si="3"/>
        <v>77000</v>
      </c>
      <c r="P22" s="6"/>
      <c r="Q22" s="15">
        <v>2000</v>
      </c>
      <c r="R22" s="15">
        <f t="shared" si="1"/>
        <v>0</v>
      </c>
    </row>
    <row r="23" spans="1:18" ht="15.75" x14ac:dyDescent="0.25">
      <c r="A23" s="21"/>
      <c r="B23" s="5" t="s">
        <v>74</v>
      </c>
      <c r="C23" s="34"/>
      <c r="D23" s="15">
        <v>3500</v>
      </c>
      <c r="E23" s="15">
        <f t="shared" si="2"/>
        <v>0</v>
      </c>
      <c r="F23" s="6"/>
      <c r="G23" s="15">
        <v>3500</v>
      </c>
      <c r="H23" s="15">
        <f t="shared" si="0"/>
        <v>0</v>
      </c>
      <c r="K23" s="21"/>
      <c r="L23" s="5" t="s">
        <v>74</v>
      </c>
      <c r="M23" s="34"/>
      <c r="N23" s="15">
        <v>3500</v>
      </c>
      <c r="O23" s="15">
        <f t="shared" si="3"/>
        <v>0</v>
      </c>
      <c r="P23" s="6"/>
      <c r="Q23" s="15">
        <v>3500</v>
      </c>
      <c r="R23" s="15">
        <f t="shared" si="1"/>
        <v>0</v>
      </c>
    </row>
    <row r="24" spans="1:18" ht="15.75" x14ac:dyDescent="0.25">
      <c r="A24" s="21"/>
      <c r="B24" s="5" t="s">
        <v>55</v>
      </c>
      <c r="C24" s="34"/>
      <c r="D24" s="15"/>
      <c r="E24" s="15">
        <f t="shared" si="2"/>
        <v>0</v>
      </c>
      <c r="F24" s="6"/>
      <c r="G24" s="15"/>
      <c r="H24" s="15">
        <f t="shared" si="0"/>
        <v>0</v>
      </c>
      <c r="K24" s="21"/>
      <c r="L24" s="5" t="s">
        <v>55</v>
      </c>
      <c r="M24" s="34"/>
      <c r="N24" s="15"/>
      <c r="O24" s="15">
        <f t="shared" si="3"/>
        <v>0</v>
      </c>
      <c r="P24" s="6"/>
      <c r="Q24" s="15"/>
      <c r="R24" s="15">
        <f t="shared" si="1"/>
        <v>0</v>
      </c>
    </row>
    <row r="25" spans="1:18" ht="15.75" x14ac:dyDescent="0.25">
      <c r="A25" s="21"/>
      <c r="B25" s="5" t="s">
        <v>56</v>
      </c>
      <c r="C25" s="34"/>
      <c r="D25" s="15"/>
      <c r="E25" s="15">
        <f t="shared" si="2"/>
        <v>0</v>
      </c>
      <c r="F25" s="6"/>
      <c r="G25" s="15"/>
      <c r="H25" s="15">
        <f t="shared" si="0"/>
        <v>0</v>
      </c>
      <c r="K25" s="21"/>
      <c r="L25" s="5" t="s">
        <v>56</v>
      </c>
      <c r="M25" s="34"/>
      <c r="N25" s="15"/>
      <c r="O25" s="15">
        <f t="shared" si="3"/>
        <v>0</v>
      </c>
      <c r="P25" s="6"/>
      <c r="Q25" s="15"/>
      <c r="R25" s="15">
        <f t="shared" si="1"/>
        <v>0</v>
      </c>
    </row>
    <row r="26" spans="1:18" ht="15.75" x14ac:dyDescent="0.25">
      <c r="A26" s="21"/>
      <c r="B26" s="5" t="s">
        <v>57</v>
      </c>
      <c r="C26" s="34"/>
      <c r="D26" s="15"/>
      <c r="E26" s="15">
        <f t="shared" si="2"/>
        <v>0</v>
      </c>
      <c r="F26" s="6"/>
      <c r="G26" s="15"/>
      <c r="H26" s="15">
        <f t="shared" si="0"/>
        <v>0</v>
      </c>
      <c r="K26" s="21"/>
      <c r="L26" s="5" t="s">
        <v>57</v>
      </c>
      <c r="M26" s="34"/>
      <c r="N26" s="15"/>
      <c r="O26" s="15">
        <f t="shared" si="3"/>
        <v>0</v>
      </c>
      <c r="P26" s="6"/>
      <c r="Q26" s="15"/>
      <c r="R26" s="15">
        <f t="shared" si="1"/>
        <v>0</v>
      </c>
    </row>
    <row r="27" spans="1:18" ht="15.75" x14ac:dyDescent="0.25">
      <c r="A27" s="21"/>
      <c r="B27" s="12" t="s">
        <v>36</v>
      </c>
      <c r="C27" s="13">
        <f>SUM(C5:C26)</f>
        <v>1092.5</v>
      </c>
      <c r="D27" s="16"/>
      <c r="E27" s="16">
        <f>SUM(E5:E26)</f>
        <v>1983000</v>
      </c>
      <c r="F27" s="13">
        <f>SUM(F5:F26)</f>
        <v>352</v>
      </c>
      <c r="G27" s="16"/>
      <c r="H27" s="16">
        <f>SUM(H5:H26)</f>
        <v>1132000</v>
      </c>
      <c r="K27" s="21"/>
      <c r="L27" s="12" t="s">
        <v>23</v>
      </c>
      <c r="M27" s="13">
        <f>SUM(M5:M26)</f>
        <v>1596.5</v>
      </c>
      <c r="N27" s="16"/>
      <c r="O27" s="16">
        <f>SUM(O5:O26)</f>
        <v>3355000</v>
      </c>
      <c r="P27" s="13">
        <f>SUM(P5:P26)</f>
        <v>352</v>
      </c>
      <c r="Q27" s="16"/>
      <c r="R27" s="16">
        <f>SUM(R5:R26)</f>
        <v>1132000</v>
      </c>
    </row>
    <row r="28" spans="1:18" ht="15.75" x14ac:dyDescent="0.25">
      <c r="A28" s="21"/>
      <c r="B28" s="12"/>
      <c r="C28" s="13"/>
      <c r="D28" s="13"/>
      <c r="E28" s="16"/>
      <c r="F28" s="13"/>
      <c r="G28" s="13"/>
      <c r="H28" s="16"/>
      <c r="K28" s="21"/>
      <c r="L28" s="12" t="s">
        <v>84</v>
      </c>
      <c r="M28" s="13">
        <v>1092.5</v>
      </c>
      <c r="N28" s="13"/>
      <c r="O28" s="16">
        <v>1983000</v>
      </c>
      <c r="P28" s="13">
        <v>352</v>
      </c>
      <c r="Q28" s="13"/>
      <c r="R28" s="16">
        <v>1132000</v>
      </c>
    </row>
    <row r="29" spans="1:18" ht="15.75" x14ac:dyDescent="0.25">
      <c r="A29" s="21"/>
      <c r="B29" s="12" t="s">
        <v>23</v>
      </c>
      <c r="C29" s="13"/>
      <c r="D29" s="12"/>
      <c r="E29" s="16"/>
      <c r="F29" s="12"/>
      <c r="G29" s="12"/>
      <c r="H29" s="16"/>
      <c r="K29" s="21"/>
      <c r="L29" s="12" t="s">
        <v>85</v>
      </c>
      <c r="M29" s="13">
        <f>M27-M28</f>
        <v>504</v>
      </c>
      <c r="N29" s="12"/>
      <c r="O29" s="16">
        <f>O27-O28</f>
        <v>1372000</v>
      </c>
      <c r="P29" s="13">
        <f>P27-P28</f>
        <v>0</v>
      </c>
      <c r="Q29" s="12"/>
      <c r="R29" s="13">
        <f>R27-R28</f>
        <v>0</v>
      </c>
    </row>
    <row r="33" spans="1:8" ht="15.75" x14ac:dyDescent="0.25">
      <c r="B33" s="1"/>
      <c r="C33" s="14" t="s">
        <v>77</v>
      </c>
      <c r="D33" s="1"/>
      <c r="E33" s="14" t="s">
        <v>25</v>
      </c>
      <c r="F33" s="14" t="s">
        <v>62</v>
      </c>
      <c r="G33" s="1"/>
      <c r="H33" s="1"/>
    </row>
    <row r="34" spans="1:8" ht="15.75" x14ac:dyDescent="0.25">
      <c r="A34" s="21"/>
      <c r="B34" s="9" t="s">
        <v>22</v>
      </c>
      <c r="C34" s="10" t="s">
        <v>17</v>
      </c>
      <c r="D34" s="2" t="s">
        <v>50</v>
      </c>
      <c r="E34" s="3"/>
      <c r="F34" s="10" t="s">
        <v>21</v>
      </c>
      <c r="G34" s="2"/>
      <c r="H34" s="3"/>
    </row>
    <row r="35" spans="1:8" ht="15.75" x14ac:dyDescent="0.25">
      <c r="A35" s="21"/>
      <c r="B35" s="8"/>
      <c r="C35" s="4" t="s">
        <v>18</v>
      </c>
      <c r="D35" s="8" t="s">
        <v>19</v>
      </c>
      <c r="E35" s="11" t="s">
        <v>20</v>
      </c>
      <c r="F35" s="8" t="s">
        <v>18</v>
      </c>
      <c r="G35" s="8" t="s">
        <v>19</v>
      </c>
      <c r="H35" s="11" t="s">
        <v>20</v>
      </c>
    </row>
    <row r="36" spans="1:8" ht="18.75" x14ac:dyDescent="0.3">
      <c r="A36" s="36">
        <v>271</v>
      </c>
      <c r="B36" s="5" t="s">
        <v>68</v>
      </c>
      <c r="C36" s="33"/>
      <c r="D36" s="15">
        <v>3500</v>
      </c>
      <c r="E36" s="15">
        <f>C36*D36</f>
        <v>0</v>
      </c>
      <c r="F36" s="1"/>
      <c r="G36" s="15">
        <v>3500</v>
      </c>
      <c r="H36" s="15">
        <f t="shared" ref="H36:H57" si="4">F36*G36</f>
        <v>0</v>
      </c>
    </row>
    <row r="37" spans="1:8" ht="15.75" x14ac:dyDescent="0.25">
      <c r="A37" s="37"/>
      <c r="B37" s="6" t="s">
        <v>7</v>
      </c>
      <c r="C37" s="34"/>
      <c r="D37" s="15">
        <v>1000</v>
      </c>
      <c r="E37" s="15">
        <f t="shared" ref="E37:E57" si="5">C37*D37</f>
        <v>0</v>
      </c>
      <c r="F37" s="6"/>
      <c r="G37" s="15">
        <v>1000</v>
      </c>
      <c r="H37" s="15">
        <f t="shared" si="4"/>
        <v>0</v>
      </c>
    </row>
    <row r="38" spans="1:8" ht="15.75" x14ac:dyDescent="0.25">
      <c r="A38" s="37"/>
      <c r="B38" s="6" t="s">
        <v>9</v>
      </c>
      <c r="C38" s="34">
        <v>136</v>
      </c>
      <c r="D38" s="15">
        <v>3500</v>
      </c>
      <c r="E38" s="15">
        <f t="shared" si="5"/>
        <v>476000</v>
      </c>
      <c r="F38" s="6"/>
      <c r="G38" s="15">
        <v>3500</v>
      </c>
      <c r="H38" s="15">
        <f t="shared" si="4"/>
        <v>0</v>
      </c>
    </row>
    <row r="39" spans="1:8" ht="18.75" x14ac:dyDescent="0.3">
      <c r="A39" s="36" t="s">
        <v>75</v>
      </c>
      <c r="B39" s="6" t="s">
        <v>5</v>
      </c>
      <c r="C39" s="34">
        <v>64</v>
      </c>
      <c r="D39" s="15">
        <v>3500</v>
      </c>
      <c r="E39" s="15">
        <f t="shared" si="5"/>
        <v>224000</v>
      </c>
      <c r="F39" s="6"/>
      <c r="G39" s="15">
        <v>3500</v>
      </c>
      <c r="H39" s="15">
        <f t="shared" si="4"/>
        <v>0</v>
      </c>
    </row>
    <row r="40" spans="1:8" ht="15.75" x14ac:dyDescent="0.25">
      <c r="A40" s="37"/>
      <c r="B40" s="6" t="s">
        <v>3</v>
      </c>
      <c r="C40" s="34">
        <v>88</v>
      </c>
      <c r="D40" s="15">
        <v>3500</v>
      </c>
      <c r="E40" s="15">
        <f t="shared" si="5"/>
        <v>308000</v>
      </c>
      <c r="F40" s="6"/>
      <c r="G40" s="15">
        <v>3500</v>
      </c>
      <c r="H40" s="15">
        <f t="shared" si="4"/>
        <v>0</v>
      </c>
    </row>
    <row r="41" spans="1:8" ht="15.75" x14ac:dyDescent="0.25">
      <c r="A41" s="37"/>
      <c r="B41" s="6" t="s">
        <v>69</v>
      </c>
      <c r="C41" s="34"/>
      <c r="D41" s="15">
        <v>1000</v>
      </c>
      <c r="E41" s="15">
        <f t="shared" si="5"/>
        <v>0</v>
      </c>
      <c r="F41" s="6"/>
      <c r="G41" s="15">
        <v>1000</v>
      </c>
      <c r="H41" s="15">
        <f t="shared" si="4"/>
        <v>0</v>
      </c>
    </row>
    <row r="42" spans="1:8" ht="15.75" x14ac:dyDescent="0.25">
      <c r="A42" s="37"/>
      <c r="B42" s="5" t="s">
        <v>60</v>
      </c>
      <c r="C42" s="34"/>
      <c r="D42" s="15">
        <v>1000</v>
      </c>
      <c r="E42" s="15">
        <f t="shared" si="5"/>
        <v>0</v>
      </c>
      <c r="F42" s="6"/>
      <c r="G42" s="15">
        <v>1000</v>
      </c>
      <c r="H42" s="15">
        <f t="shared" si="4"/>
        <v>0</v>
      </c>
    </row>
    <row r="43" spans="1:8" ht="15.75" x14ac:dyDescent="0.25">
      <c r="A43" s="37"/>
      <c r="B43" s="5" t="s">
        <v>70</v>
      </c>
      <c r="C43" s="34">
        <v>144</v>
      </c>
      <c r="D43" s="15">
        <v>1000</v>
      </c>
      <c r="E43" s="15">
        <f t="shared" si="5"/>
        <v>144000</v>
      </c>
      <c r="F43" s="6"/>
      <c r="G43" s="15">
        <v>1000</v>
      </c>
      <c r="H43" s="15">
        <f t="shared" si="4"/>
        <v>0</v>
      </c>
    </row>
    <row r="44" spans="1:8" ht="15.75" x14ac:dyDescent="0.25">
      <c r="A44" s="37"/>
      <c r="B44" s="6" t="s">
        <v>78</v>
      </c>
      <c r="C44" s="34">
        <v>40</v>
      </c>
      <c r="D44" s="31">
        <v>3500</v>
      </c>
      <c r="E44" s="15">
        <f t="shared" si="5"/>
        <v>140000</v>
      </c>
      <c r="F44" s="6"/>
      <c r="G44" s="31">
        <v>3500</v>
      </c>
      <c r="H44" s="15">
        <f t="shared" si="4"/>
        <v>0</v>
      </c>
    </row>
    <row r="45" spans="1:8" ht="15.75" x14ac:dyDescent="0.25">
      <c r="A45" s="37"/>
      <c r="B45" s="6" t="s">
        <v>10</v>
      </c>
      <c r="C45" s="34">
        <v>32</v>
      </c>
      <c r="D45" s="15">
        <v>2500</v>
      </c>
      <c r="E45" s="15">
        <f t="shared" si="5"/>
        <v>80000</v>
      </c>
      <c r="F45" s="6"/>
      <c r="G45" s="15">
        <v>2500</v>
      </c>
      <c r="H45" s="15">
        <f t="shared" si="4"/>
        <v>0</v>
      </c>
    </row>
    <row r="46" spans="1:8" ht="15.75" x14ac:dyDescent="0.25">
      <c r="A46" s="37"/>
      <c r="B46" s="5" t="s">
        <v>81</v>
      </c>
      <c r="C46" s="34"/>
      <c r="D46" s="15">
        <v>1000</v>
      </c>
      <c r="E46" s="15">
        <f t="shared" si="5"/>
        <v>0</v>
      </c>
      <c r="F46" s="6"/>
      <c r="G46" s="15">
        <v>1000</v>
      </c>
      <c r="H46" s="15">
        <f t="shared" si="4"/>
        <v>0</v>
      </c>
    </row>
    <row r="47" spans="1:8" ht="18.75" x14ac:dyDescent="0.3">
      <c r="A47" s="36" t="s">
        <v>79</v>
      </c>
      <c r="B47" s="6" t="s">
        <v>11</v>
      </c>
      <c r="C47" s="33"/>
      <c r="D47" s="15">
        <v>3500</v>
      </c>
      <c r="E47" s="15">
        <f t="shared" si="5"/>
        <v>0</v>
      </c>
      <c r="F47" s="6"/>
      <c r="G47" s="15">
        <v>3500</v>
      </c>
      <c r="H47" s="15">
        <f t="shared" si="4"/>
        <v>0</v>
      </c>
    </row>
    <row r="48" spans="1:8" ht="15.75" x14ac:dyDescent="0.25">
      <c r="A48" s="37"/>
      <c r="B48" s="6" t="s">
        <v>8</v>
      </c>
      <c r="C48" s="34"/>
      <c r="D48" s="15">
        <v>4000</v>
      </c>
      <c r="E48" s="15">
        <f t="shared" si="5"/>
        <v>0</v>
      </c>
      <c r="F48" s="6"/>
      <c r="G48" s="15">
        <v>4000</v>
      </c>
      <c r="H48" s="15">
        <f t="shared" si="4"/>
        <v>0</v>
      </c>
    </row>
    <row r="49" spans="1:8" ht="15.75" x14ac:dyDescent="0.25">
      <c r="A49" s="37"/>
      <c r="B49" s="6" t="s">
        <v>6</v>
      </c>
      <c r="C49" s="34"/>
      <c r="D49" s="15">
        <v>4000</v>
      </c>
      <c r="E49" s="15">
        <f t="shared" si="5"/>
        <v>0</v>
      </c>
      <c r="F49" s="6"/>
      <c r="G49" s="15">
        <v>4000</v>
      </c>
      <c r="H49" s="15">
        <f t="shared" si="4"/>
        <v>0</v>
      </c>
    </row>
    <row r="50" spans="1:8" ht="15.75" x14ac:dyDescent="0.25">
      <c r="A50" s="37"/>
      <c r="B50" s="6" t="s">
        <v>71</v>
      </c>
      <c r="C50" s="34"/>
      <c r="D50" s="15">
        <v>1000</v>
      </c>
      <c r="E50" s="15">
        <f t="shared" si="5"/>
        <v>0</v>
      </c>
      <c r="F50" s="6"/>
      <c r="G50" s="15">
        <v>1000</v>
      </c>
      <c r="H50" s="15">
        <f t="shared" si="4"/>
        <v>0</v>
      </c>
    </row>
    <row r="51" spans="1:8" ht="15.75" x14ac:dyDescent="0.25">
      <c r="A51" s="37"/>
      <c r="B51" s="6" t="s">
        <v>72</v>
      </c>
      <c r="C51" s="34"/>
      <c r="D51" s="15">
        <v>2500</v>
      </c>
      <c r="E51" s="15">
        <f t="shared" si="5"/>
        <v>0</v>
      </c>
      <c r="F51" s="6"/>
      <c r="G51" s="15">
        <v>2500</v>
      </c>
      <c r="H51" s="15">
        <f t="shared" si="4"/>
        <v>0</v>
      </c>
    </row>
    <row r="52" spans="1:8" ht="18.75" x14ac:dyDescent="0.3">
      <c r="A52" s="36" t="s">
        <v>75</v>
      </c>
      <c r="B52" s="5" t="s">
        <v>73</v>
      </c>
      <c r="C52" s="34"/>
      <c r="D52" s="31">
        <v>3500</v>
      </c>
      <c r="E52" s="15">
        <f t="shared" si="5"/>
        <v>0</v>
      </c>
      <c r="F52" s="6"/>
      <c r="G52" s="31">
        <v>3500</v>
      </c>
      <c r="H52" s="15">
        <f t="shared" si="4"/>
        <v>0</v>
      </c>
    </row>
    <row r="53" spans="1:8" ht="15.75" x14ac:dyDescent="0.25">
      <c r="A53" s="37"/>
      <c r="B53" s="5" t="s">
        <v>82</v>
      </c>
      <c r="C53" s="34"/>
      <c r="D53" s="15">
        <v>2000</v>
      </c>
      <c r="E53" s="15">
        <f t="shared" si="5"/>
        <v>0</v>
      </c>
      <c r="F53" s="6"/>
      <c r="G53" s="15">
        <v>2000</v>
      </c>
      <c r="H53" s="15">
        <f t="shared" si="4"/>
        <v>0</v>
      </c>
    </row>
    <row r="54" spans="1:8" ht="15.75" x14ac:dyDescent="0.25">
      <c r="A54" s="21"/>
      <c r="B54" s="5" t="s">
        <v>74</v>
      </c>
      <c r="C54" s="34"/>
      <c r="D54" s="15">
        <v>3500</v>
      </c>
      <c r="E54" s="15">
        <f t="shared" si="5"/>
        <v>0</v>
      </c>
      <c r="F54" s="6"/>
      <c r="G54" s="15">
        <v>3500</v>
      </c>
      <c r="H54" s="15">
        <f t="shared" si="4"/>
        <v>0</v>
      </c>
    </row>
    <row r="55" spans="1:8" ht="15.75" x14ac:dyDescent="0.25">
      <c r="A55" s="21"/>
      <c r="B55" s="5" t="s">
        <v>55</v>
      </c>
      <c r="C55" s="34"/>
      <c r="D55" s="15"/>
      <c r="E55" s="15">
        <f t="shared" si="5"/>
        <v>0</v>
      </c>
      <c r="F55" s="6"/>
      <c r="G55" s="15"/>
      <c r="H55" s="15">
        <f t="shared" si="4"/>
        <v>0</v>
      </c>
    </row>
    <row r="56" spans="1:8" ht="15.75" x14ac:dyDescent="0.25">
      <c r="A56" s="21"/>
      <c r="B56" s="5" t="s">
        <v>56</v>
      </c>
      <c r="C56" s="34"/>
      <c r="D56" s="15"/>
      <c r="E56" s="15">
        <f t="shared" si="5"/>
        <v>0</v>
      </c>
      <c r="F56" s="6"/>
      <c r="G56" s="15"/>
      <c r="H56" s="15">
        <f t="shared" si="4"/>
        <v>0</v>
      </c>
    </row>
    <row r="57" spans="1:8" ht="15.75" x14ac:dyDescent="0.25">
      <c r="A57" s="21"/>
      <c r="B57" s="5" t="s">
        <v>57</v>
      </c>
      <c r="C57" s="34"/>
      <c r="D57" s="15"/>
      <c r="E57" s="15">
        <f t="shared" si="5"/>
        <v>0</v>
      </c>
      <c r="F57" s="6"/>
      <c r="G57" s="15"/>
      <c r="H57" s="15">
        <f t="shared" si="4"/>
        <v>0</v>
      </c>
    </row>
    <row r="58" spans="1:8" ht="15.75" x14ac:dyDescent="0.25">
      <c r="A58" s="21"/>
      <c r="B58" s="12" t="s">
        <v>23</v>
      </c>
      <c r="C58" s="13">
        <f>SUM(C36:C57)</f>
        <v>504</v>
      </c>
      <c r="D58" s="16"/>
      <c r="E58" s="16">
        <f>SUM(E36:E57)</f>
        <v>1372000</v>
      </c>
      <c r="F58" s="13">
        <f>SUM(F36:F57)</f>
        <v>0</v>
      </c>
      <c r="G58" s="16"/>
      <c r="H58" s="16">
        <f>SUM(H36:H57)</f>
        <v>0</v>
      </c>
    </row>
    <row r="59" spans="1:8" ht="15.75" x14ac:dyDescent="0.25">
      <c r="A59" s="21"/>
      <c r="B59" s="12"/>
      <c r="C59" s="13"/>
      <c r="D59" s="13"/>
      <c r="E59" s="16"/>
      <c r="F59" s="13"/>
      <c r="G59" s="13"/>
      <c r="H59" s="16"/>
    </row>
    <row r="60" spans="1:8" ht="15.75" x14ac:dyDescent="0.25">
      <c r="A60" s="21"/>
      <c r="B60" s="12"/>
      <c r="C60" s="13"/>
      <c r="D60" s="12"/>
      <c r="E60" s="16"/>
      <c r="F60" s="13"/>
      <c r="G60" s="12"/>
      <c r="H6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грязная</vt:lpstr>
      <vt:lpstr>чистая</vt:lpstr>
      <vt:lpstr>Сводка</vt:lpstr>
      <vt:lpstr>01.26 (изм)</vt:lpstr>
      <vt:lpstr>01.26</vt:lpstr>
      <vt:lpstr>02.26 (изм)</vt:lpstr>
      <vt:lpstr>02.26</vt:lpstr>
      <vt:lpstr>03.26 (изм)</vt:lpstr>
      <vt:lpstr>03.26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Бухгалтер</dc:creator>
  <cp:lastModifiedBy>Admin</cp:lastModifiedBy>
  <cp:lastPrinted>2026-03-13T00:04:15Z</cp:lastPrinted>
  <dcterms:created xsi:type="dcterms:W3CDTF">2025-12-02T03:22:07Z</dcterms:created>
  <dcterms:modified xsi:type="dcterms:W3CDTF">2026-04-24T01:14:31Z</dcterms:modified>
</cp:coreProperties>
</file>